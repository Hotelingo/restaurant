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8369168f746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6676e02d2794738"/>
    <x:sheet xmlns:r="http://schemas.openxmlformats.org/officeDocument/2006/relationships" name="PnL" sheetId="2" r:id="R5a8b6d9b9e274ff8"/>
    <x:sheet xmlns:r="http://schemas.openxmlformats.org/officeDocument/2006/relationships" name="Meal_Period" sheetId="3" r:id="R3d422d1418764af7"/>
    <x:sheet xmlns:r="http://schemas.openxmlformats.org/officeDocument/2006/relationships" name="Stock_Purchases" sheetId="4" r:id="R87039c0743654f8d"/>
    <x:sheet xmlns:r="http://schemas.openxmlformats.org/officeDocument/2006/relationships" name="Labour" sheetId="5" r:id="Rf355bee6e0904b01"/>
    <x:sheet xmlns:r="http://schemas.openxmlformats.org/officeDocument/2006/relationships" name="Item_Sales" sheetId="6" r:id="R093e1ed0c6694f78"/>
    <x:sheet xmlns:r="http://schemas.openxmlformats.org/officeDocument/2006/relationships" name="Recipe_Costs" sheetId="7" r:id="R8875b6a89aee4e46"/>
    <x:sheet xmlns:r="http://schemas.openxmlformats.org/officeDocument/2006/relationships" name="Expected_Usage" sheetId="8" r:id="R30846c1bd8a24647"/>
    <x:sheet xmlns:r="http://schemas.openxmlformats.org/officeDocument/2006/relationships" name="Customer_Source" sheetId="9" r:id="R2cf1e11bc3f540c4"/>
    <x:sheet xmlns:r="http://schemas.openxmlformats.org/officeDocument/2006/relationships" name="Other_Costs" sheetId="10" r:id="Re5703a5d6a5545f7"/>
    <x:sheet xmlns:r="http://schemas.openxmlformats.org/officeDocument/2006/relationships" name="Prior_Actions" sheetId="11" r:id="Rb62aa3a3b8b94514"/>
    <x:sheet xmlns:r="http://schemas.openxmlformats.org/officeDocument/2006/relationships" name="Mapping_Example" sheetId="12" r:id="R15893b7dea86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-#,##0"/>
    <x:numFmt numFmtId="201" formatCode="#,##0.00;[Red]-#,##0.00"/>
    <x:numFmt numFmtId="202" formatCode="#,##0.00"/>
    <x:numFmt numFmtId="203" formatCode="0.0%"/>
    <x:numFmt numFmtId="204" formatCode="#,##0"/>
    <x:numFmt numFmtId="205" formatCode="0.00"/>
  </x:numFmts>
  <x:fonts count="4">
    <x:font>
      <x:sz val="11"/>
      <x:name val="Carlito"/>
    </x:font>
    <x:font>
      <x:b/>
      <x:sz val="14"/>
      <x:color rgb="FF1B2A49"/>
      <x:name val="Carlito"/>
    </x:font>
    <x:font>
      <x:b/>
      <x:sz val="11"/>
      <x:color rgb="FF1D243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9A3B"/>
      </x:patternFill>
    </x:fill>
    <x:fill>
      <x:patternFill patternType="solid">
        <x:fgColor rgb="FFE9EEF5"/>
      </x:patternFill>
    </x:fill>
    <x:fill>
      <x:patternFill patternType="solid">
        <x:fgColor rgb="FF1B2A49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202" fontId="3" fillId="4" borderId="0" xfId="0" applyNumberFormat="1" applyFont="1" applyFill="1" applyBorder="1" applyAlignment="1">
      <x:alignment horizontal="center" vertical="center"/>
    </x:xf>
    <x:xf numFmtId="202" fontId="3" fillId="4" borderId="1" xfId="0" applyNumberFormat="1" applyFont="1" applyFill="1" applyBorder="1" applyAlignment="1">
      <x:alignment horizontal="center" vertical="center"/>
    </x:xf>
    <x:xf numFmtId="203" fontId="3" fillId="4" borderId="0" xfId="0" applyNumberFormat="1" applyFont="1" applyFill="1" applyBorder="1" applyAlignment="1">
      <x:alignment horizontal="center" vertical="center"/>
    </x:xf>
    <x:xf numFmtId="203" fontId="3" fillId="4" borderId="1" xfId="0" applyNumberFormat="1" applyFont="1" applyFill="1" applyBorder="1" applyAlignment="1">
      <x:alignment horizontal="center" vertical="center"/>
    </x:xf>
    <x:xf numFmtId="204" fontId="3" fillId="4" borderId="0" xfId="0" applyNumberFormat="1" applyFont="1" applyFill="1" applyBorder="1" applyAlignment="1">
      <x:alignment horizontal="center" vertical="center"/>
    </x:xf>
    <x:xf numFmtId="204" fontId="3" fillId="4" borderId="1" xfId="0" applyNumberFormat="1" applyFont="1" applyFill="1" applyBorder="1" applyAlignment="1">
      <x:alignment horizontal="center" vertical="center"/>
    </x:xf>
    <x:xf numFmtId="205" fontId="3" fillId="4" borderId="0" xfId="0" applyNumberFormat="1" applyFont="1" applyFill="1" applyBorder="1" applyAlignment="1">
      <x:alignment horizontal="center" vertical="center"/>
    </x:xf>
    <x:xf numFmtId="205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3" fontId="3" fillId="4" borderId="1" xfId="0" applyNumberFormat="1" applyFont="1" applyFill="1" applyBorder="1" applyAlignment="1">
      <x:alignment horizontal="center" vertical="center" wrapText="1"/>
    </x:xf>
    <x:xf numFmtId="204" fontId="3" fillId="4" borderId="0" xfId="0" applyNumberFormat="1" applyFont="1" applyFill="1" applyBorder="1" applyAlignment="1">
      <x:alignment horizontal="center" vertical="center" wrapText="1"/>
    </x:xf>
    <x:xf numFmtId="204" fontId="3" fillId="4" borderId="1" xfId="0" applyNumberFormat="1" applyFont="1" applyFill="1" applyBorder="1" applyAlignment="1">
      <x:alignment horizontal="center" vertical="center" wrapText="1"/>
    </x:xf>
    <x:xf numFmtId="205" fontId="3" fillId="4" borderId="0" xfId="0" applyNumberFormat="1" applyFont="1" applyFill="1" applyBorder="1" applyAlignment="1">
      <x:alignment horizontal="center" vertical="center" wrapText="1"/>
    </x:xf>
    <x:xf numFmtId="205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8f1f9a5504a61" /><Relationship Type="http://schemas.openxmlformats.org/officeDocument/2006/relationships/theme" Target="/xl/theme/theme1.xml" Id="Rbc91aac3c38f48de" /><Relationship Type="http://schemas.openxmlformats.org/officeDocument/2006/relationships/sharedStrings" Target="/xl/sharedStrings.xml" Id="R2bf7cede231445c2" /><Relationship Type="http://schemas.openxmlformats.org/officeDocument/2006/relationships/worksheet" Target="/xl/worksheets/sheet1.xml" Id="Rc6676e02d2794738" /><Relationship Type="http://schemas.openxmlformats.org/officeDocument/2006/relationships/worksheet" Target="/xl/worksheets/sheet2.xml" Id="R5a8b6d9b9e274ff8" /><Relationship Type="http://schemas.openxmlformats.org/officeDocument/2006/relationships/worksheet" Target="/xl/worksheets/sheet3.xml" Id="R3d422d1418764af7" /><Relationship Type="http://schemas.openxmlformats.org/officeDocument/2006/relationships/worksheet" Target="/xl/worksheets/sheet4.xml" Id="R87039c0743654f8d" /><Relationship Type="http://schemas.openxmlformats.org/officeDocument/2006/relationships/worksheet" Target="/xl/worksheets/sheet5.xml" Id="Rf355bee6e0904b01" /><Relationship Type="http://schemas.openxmlformats.org/officeDocument/2006/relationships/worksheet" Target="/xl/worksheets/sheet6.xml" Id="R093e1ed0c6694f78" /><Relationship Type="http://schemas.openxmlformats.org/officeDocument/2006/relationships/worksheet" Target="/xl/worksheets/sheet7.xml" Id="R8875b6a89aee4e46" /><Relationship Type="http://schemas.openxmlformats.org/officeDocument/2006/relationships/worksheet" Target="/xl/worksheets/sheet8.xml" Id="R30846c1bd8a24647" /><Relationship Type="http://schemas.openxmlformats.org/officeDocument/2006/relationships/worksheet" Target="/xl/worksheets/sheet9.xml" Id="R2cf1e11bc3f540c4" /><Relationship Type="http://schemas.openxmlformats.org/officeDocument/2006/relationships/worksheet" Target="/xl/worksheets/sheet10.xml" Id="Re5703a5d6a5545f7" /><Relationship Type="http://schemas.openxmlformats.org/officeDocument/2006/relationships/worksheet" Target="/xl/worksheets/sheet11.xml" Id="Rb62aa3a3b8b94514" /><Relationship Type="http://schemas.openxmlformats.org/officeDocument/2006/relationships/worksheet" Target="/xl/worksheets/sheet12.xml" Id="R15893b7dea8647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0" t="str">
        <x:v>Amberside Bistro — Unified Restaurant Performance Demo Dataset v1</x:v>
      </x:c>
      <x:c r="B1" s="10"/>
      <x:c r="C1" s="3"/>
      <x:c r="D1" s="3"/>
      <x:c r="E1" s="3"/>
      <x:c r="F1" s="3"/>
      <x:c r="G1" s="3"/>
      <x:c r="H1" s="3"/>
    </x:row>
    <x:row r="3">
      <x:c r="A3" s="7" t="str">
        <x:v>Purpose</x:v>
      </x:c>
      <x:c r="B3" t="str">
        <x:v>One coherent synthetic restaurant fixture for the Restaurant Performance Review wireframe and future acceptance tests.</x:v>
      </x:c>
    </x:row>
    <x:row r="4">
      <x:c r="A4" s="7" t="str">
        <x:v>Primary period</x:v>
      </x:c>
      <x:c r="B4" t="str">
        <x:v>July 2026</x:v>
      </x:c>
    </x:row>
    <x:row r="5">
      <x:c r="A5" s="7" t="str">
        <x:v>Follow-up period</x:v>
      </x:c>
      <x:c r="B5" t="str">
        <x:v>August 2026</x:v>
      </x:c>
    </x:row>
    <x:row r="6">
      <x:c r="A6" s="7" t="str">
        <x:v>Currency</x:v>
      </x:c>
      <x:c r="B6" t="str">
        <x:v>USD</x:v>
      </x:c>
    </x:row>
    <x:row r="7">
      <x:c r="A7" s="7" t="str">
        <x:v>Core financial case</x:v>
      </x:c>
      <x:c r="B7" t="str">
        <x:v>July net sales 228,500; restaurant operating profit 53,549; operating-profit variance vs Budget −14,671.</x:v>
      </x:c>
    </x:row>
    <x:row r="8">
      <x:c r="A8" s="7" t="str">
        <x:v>Food-cost case</x:v>
      </x:c>
      <x:c r="B8" t="str">
        <x:v>July Food sales 191,100; actual consumption 61,343; expected usage 60,400; residual above expected 943.</x:v>
      </x:c>
    </x:row>
    <x:row r="9">
      <x:c r="A9" s="7" t="str">
        <x:v>Menu integration</x:v>
      </x:c>
      <x:c r="B9" t="str">
        <x:v>Item sales and approved product costs reconcile to July Food and Beverage revenue and expected usage.</x:v>
      </x:c>
    </x:row>
    <x:row r="10">
      <x:c r="A10" s="7" t="str">
        <x:v>Use</x:v>
      </x:c>
      <x:c r="B10" t="str">
        <x:v>Demo, wireframe walkthroughs, import/mapping prototypes, deterministic calculation tests, reviewer workflow tests.</x:v>
      </x:c>
    </x:row>
    <x:row r="11">
      <x:c r="A11" s="7" t="str">
        <x:v>Important</x:v>
      </x:c>
      <x:c r="B11" t="str">
        <x:v>Synthetic data only. Do not represent it as a real restaurant.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30" hidden="0" customWidth="1"/>
    <x:col min="3" max="3" width="6.130000114440918" hidden="0" customWidth="1"/>
    <x:col min="4" max="4" width="6.130000114440918" hidden="0" customWidth="1"/>
    <x:col min="5" max="5" width="17.3799991607666" hidden="0" customWidth="1"/>
  </x:cols>
  <x:sheetData>
    <x:row r="1">
      <x:c r="A1" s="32" t="str">
        <x:v>Period</x:v>
      </x:c>
      <x:c r="B1" s="32" t="str">
        <x:v>Line</x:v>
      </x:c>
      <x:c r="C1" s="33" t="str">
        <x:v>Actual</x:v>
      </x:c>
      <x:c r="D1" s="33" t="str">
        <x:v>Budget</x:v>
      </x:c>
      <x:c r="E1" s="33" t="str">
        <x:v>Variance_Profit_Effect</x:v>
      </x:c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2026-07</x:v>
      </x:c>
      <x:c r="B2" t="str">
        <x:v>Net Sales</x:v>
      </x:c>
      <x:c r="C2" t="n">
        <x:v>228500</x:v>
      </x:c>
      <x:c r="D2" t="n">
        <x:v>232000</x:v>
      </x:c>
      <x:c r="E2" t="n">
        <x:f>C2-D2</x:f>
        <x:v>-3500</x:v>
      </x:c>
    </x:row>
    <x:row r="3">
      <x:c r="A3" t="str">
        <x:v>2026-07</x:v>
      </x:c>
      <x:c r="B3" t="str">
        <x:v>Product Cost</x:v>
      </x:c>
      <x:c r="C3" t="n">
        <x:v>70282</x:v>
      </x:c>
      <x:c r="D3" t="n">
        <x:v>66908</x:v>
      </x:c>
      <x:c r="E3" t="n">
        <x:f>D3-C3</x:f>
        <x:v>-3374</x:v>
      </x:c>
    </x:row>
    <x:row r="4">
      <x:c r="A4" t="str">
        <x:v>2026-07</x:v>
      </x:c>
      <x:c r="B4" s="7" t="str">
        <x:v>Product Margin</x:v>
      </x:c>
      <x:c r="C4" s="7" t="n">
        <x:f>C2-C3</x:f>
        <x:v>158218</x:v>
      </x:c>
      <x:c r="D4" s="7" t="n">
        <x:f>D2-D3</x:f>
        <x:v>165092</x:v>
      </x:c>
      <x:c r="E4" s="7" t="n">
        <x:f>C4-D4</x:f>
        <x:v>-6874</x:v>
      </x:c>
    </x:row>
    <x:row r="5">
      <x:c r="A5" t="str">
        <x:v>2026-07</x:v>
      </x:c>
      <x:c r="B5" t="str">
        <x:v>Acquisition / Channel Cost</x:v>
      </x:c>
      <x:c r="C5" t="n">
        <x:v>3600</x:v>
      </x:c>
      <x:c r="D5" t="n">
        <x:v>3300</x:v>
      </x:c>
      <x:c r="E5" t="n">
        <x:f>D5-C5</x:f>
        <x:v>-300</x:v>
      </x:c>
    </x:row>
    <x:row r="6">
      <x:c r="A6" t="str">
        <x:v>2026-07</x:v>
      </x:c>
      <x:c r="B6" t="str">
        <x:v>Direct Labour</x:v>
      </x:c>
      <x:c r="C6" t="n">
        <x:v>84317</x:v>
      </x:c>
      <x:c r="D6" t="n">
        <x:v>79112</x:v>
      </x:c>
      <x:c r="E6" t="n">
        <x:f>D6-C6</x:f>
        <x:v>-5205</x:v>
      </x:c>
    </x:row>
    <x:row r="7">
      <x:c r="A7" t="str">
        <x:v>2026-07</x:v>
      </x:c>
      <x:c r="B7" t="str">
        <x:v>Other Direct Operating Cost</x:v>
      </x:c>
      <x:c r="C7" t="n">
        <x:v>2500</x:v>
      </x:c>
      <x:c r="D7" t="n">
        <x:v>2300</x:v>
      </x:c>
      <x:c r="E7" t="n">
        <x:f>D7-C7</x:f>
        <x:v>-200</x:v>
      </x:c>
    </x:row>
    <x:row r="8">
      <x:c r="A8" t="str">
        <x:v>2026-07</x:v>
      </x:c>
      <x:c r="B8" s="7" t="str">
        <x:v>Contribution</x:v>
      </x:c>
      <x:c r="C8" s="7" t="n">
        <x:f>C4-C5-C6-C7</x:f>
        <x:v>67801</x:v>
      </x:c>
      <x:c r="D8" s="7" t="n">
        <x:f>D4-D5-D6-D7</x:f>
        <x:v>80380</x:v>
      </x:c>
      <x:c r="E8" s="7" t="n">
        <x:f>C8-D8</x:f>
        <x:v>-12579</x:v>
      </x:c>
    </x:row>
    <x:row r="9">
      <x:c r="A9" t="str">
        <x:v>2026-07</x:v>
      </x:c>
      <x:c r="B9" t="str">
        <x:v>Shared Restaurant Costs</x:v>
      </x:c>
      <x:c r="C9" t="n">
        <x:v>14252</x:v>
      </x:c>
      <x:c r="D9" t="n">
        <x:v>12160</x:v>
      </x:c>
      <x:c r="E9" t="n">
        <x:f>D9-C9</x:f>
        <x:v>-2092</x:v>
      </x:c>
    </x:row>
    <x:row r="10">
      <x:c r="A10" t="str">
        <x:v>2026-07</x:v>
      </x:c>
      <x:c r="B10" s="7" t="str">
        <x:v>Restaurant Operating Profit</x:v>
      </x:c>
      <x:c r="C10" s="7" t="n">
        <x:f>C8-C9</x:f>
        <x:v>53549</x:v>
      </x:c>
      <x:c r="D10" s="7" t="n">
        <x:f>D8-D9</x:f>
        <x:v>68220</x:v>
      </x:c>
      <x:c r="E10" s="7" t="n">
        <x:f>C10-D10</x:f>
        <x:v>-14671</x:v>
      </x:c>
    </x:row>
    <x:row r="11">
      <x:c r="A11" t="str">
        <x:v>2026-07</x:v>
      </x:c>
      <x:c r="B11" t="str">
        <x:v>Owner / Structural Costs</x:v>
      </x:c>
      <x:c r="C11" t="n">
        <x:v>26000</x:v>
      </x:c>
      <x:c r="D11" t="n">
        <x:v>26000</x:v>
      </x:c>
      <x:c r="E11" t="n">
        <x:f>D11-C11</x:f>
        <x:v>0</x:v>
      </x:c>
    </x:row>
    <x:row r="12">
      <x:c r="A12" t="str">
        <x:v>2026-07</x:v>
      </x:c>
      <x:c r="B12" s="7" t="str">
        <x:v>Owner Result</x:v>
      </x:c>
      <x:c r="C12" s="7" t="n">
        <x:f>C10-C11</x:f>
        <x:v>27549</x:v>
      </x:c>
      <x:c r="D12" s="7" t="n">
        <x:f>D10-D11</x:f>
        <x:v>42220</x:v>
      </x:c>
      <x:c r="E12" s="7" t="n">
        <x:f>C12-D12</x:f>
        <x:v>-14671</x:v>
      </x:c>
    </x:row>
    <x:row r="13">
      <x:c r="A13" t="str">
        <x:v>2026-08</x:v>
      </x:c>
      <x:c r="B13" t="str">
        <x:v>Net Sales</x:v>
      </x:c>
      <x:c r="C13" t="n">
        <x:v>231000</x:v>
      </x:c>
      <x:c r="D13" t="n">
        <x:v>233000</x:v>
      </x:c>
      <x:c r="E13" t="n">
        <x:f>C13-D13</x:f>
        <x:v>-2000</x:v>
      </x:c>
    </x:row>
    <x:row r="14">
      <x:c r="A14" t="str">
        <x:v>2026-08</x:v>
      </x:c>
      <x:c r="B14" t="str">
        <x:v>Product Cost</x:v>
      </x:c>
      <x:c r="C14" t="n">
        <x:v>68190</x:v>
      </x:c>
      <x:c r="D14" t="n">
        <x:v>67950</x:v>
      </x:c>
      <x:c r="E14" t="n">
        <x:f>D14-C14</x:f>
        <x:v>-240</x:v>
      </x:c>
    </x:row>
    <x:row r="15">
      <x:c r="A15" t="str">
        <x:v>2026-08</x:v>
      </x:c>
      <x:c r="B15" s="7" t="str">
        <x:v>Product Margin</x:v>
      </x:c>
      <x:c r="C15" s="7" t="n">
        <x:f>C13-C14</x:f>
        <x:v>162810</x:v>
      </x:c>
      <x:c r="D15" s="7" t="n">
        <x:f>D13-D14</x:f>
        <x:v>165050</x:v>
      </x:c>
      <x:c r="E15" s="7" t="n">
        <x:f>C15-D15</x:f>
        <x:v>-2240</x:v>
      </x:c>
    </x:row>
    <x:row r="16">
      <x:c r="A16" t="str">
        <x:v>2026-08</x:v>
      </x:c>
      <x:c r="B16" t="str">
        <x:v>Acquisition / Channel Cost</x:v>
      </x:c>
      <x:c r="C16" t="n">
        <x:v>3500</x:v>
      </x:c>
      <x:c r="D16" t="n">
        <x:v>3350</x:v>
      </x:c>
      <x:c r="E16" t="n">
        <x:f>D16-C16</x:f>
        <x:v>-150</x:v>
      </x:c>
    </x:row>
    <x:row r="17">
      <x:c r="A17" t="str">
        <x:v>2026-08</x:v>
      </x:c>
      <x:c r="B17" t="str">
        <x:v>Direct Labour</x:v>
      </x:c>
      <x:c r="C17" t="n">
        <x:v>81100</x:v>
      </x:c>
      <x:c r="D17" t="n">
        <x:v>80000</x:v>
      </x:c>
      <x:c r="E17" t="n">
        <x:f>D17-C17</x:f>
        <x:v>-1100</x:v>
      </x:c>
    </x:row>
    <x:row r="18">
      <x:c r="A18" t="str">
        <x:v>2026-08</x:v>
      </x:c>
      <x:c r="B18" t="str">
        <x:v>Other Direct Operating Cost</x:v>
      </x:c>
      <x:c r="C18" t="n">
        <x:v>2450</x:v>
      </x:c>
      <x:c r="D18" t="n">
        <x:v>2350</x:v>
      </x:c>
      <x:c r="E18" t="n">
        <x:f>D18-C18</x:f>
        <x:v>-100</x:v>
      </x:c>
    </x:row>
    <x:row r="19">
      <x:c r="A19" t="str">
        <x:v>2026-08</x:v>
      </x:c>
      <x:c r="B19" s="7" t="str">
        <x:v>Contribution</x:v>
      </x:c>
      <x:c r="C19" s="7" t="n">
        <x:f>C15-C16-C17-C18</x:f>
        <x:v>75760</x:v>
      </x:c>
      <x:c r="D19" s="7" t="n">
        <x:f>D15-D16-D17-D18</x:f>
        <x:v>79350</x:v>
      </x:c>
      <x:c r="E19" s="7" t="n">
        <x:f>C19-D19</x:f>
        <x:v>-3590</x:v>
      </x:c>
    </x:row>
    <x:row r="20">
      <x:c r="A20" t="str">
        <x:v>2026-08</x:v>
      </x:c>
      <x:c r="B20" t="str">
        <x:v>Shared Restaurant Costs</x:v>
      </x:c>
      <x:c r="C20" t="n">
        <x:v>13500</x:v>
      </x:c>
      <x:c r="D20" t="n">
        <x:v>12400</x:v>
      </x:c>
      <x:c r="E20" t="n">
        <x:f>D20-C20</x:f>
        <x:v>-1100</x:v>
      </x:c>
    </x:row>
    <x:row r="21">
      <x:c r="A21" t="str">
        <x:v>2026-08</x:v>
      </x:c>
      <x:c r="B21" s="7" t="str">
        <x:v>Restaurant Operating Profit</x:v>
      </x:c>
      <x:c r="C21" s="7" t="n">
        <x:f>C19-C20</x:f>
        <x:v>62260</x:v>
      </x:c>
      <x:c r="D21" s="7" t="n">
        <x:f>D19-D20</x:f>
        <x:v>66950</x:v>
      </x:c>
      <x:c r="E21" s="7" t="n">
        <x:f>C21-D21</x:f>
        <x:v>-4690</x:v>
      </x:c>
    </x:row>
    <x:row r="22">
      <x:c r="A22" t="str">
        <x:v>2026-08</x:v>
      </x:c>
      <x:c r="B22" t="str">
        <x:v>Owner / Structural Costs</x:v>
      </x:c>
      <x:c r="C22" t="n">
        <x:v>26000</x:v>
      </x:c>
      <x:c r="D22" t="n">
        <x:v>26000</x:v>
      </x:c>
      <x:c r="E22" t="n">
        <x:f>D22-C22</x:f>
        <x:v>0</x:v>
      </x:c>
    </x:row>
    <x:row r="23">
      <x:c r="A23" t="str">
        <x:v>2026-08</x:v>
      </x:c>
      <x:c r="B23" s="7" t="str">
        <x:v>Owner Result</x:v>
      </x:c>
      <x:c r="C23" s="7" t="n">
        <x:f>C21-C22</x:f>
        <x:v>36260</x:v>
      </x:c>
      <x:c r="D23" s="7" t="n">
        <x:f>D21-D22</x:f>
        <x:v>40950</x:v>
      </x:c>
      <x:c r="E23" s="7" t="n">
        <x:f>C23-D23</x:f>
        <x:v>-4690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22" hidden="0" customWidth="1"/>
    <x:col min="3" max="3" width="4.5" hidden="0" customWidth="1"/>
    <x:col min="4" max="4" width="8.630000114440918" hidden="0" customWidth="1"/>
    <x:col min="5" max="5" width="9" hidden="0" customWidth="1"/>
    <x:col min="6" max="6" width="7.130000114440918" hidden="0" customWidth="1"/>
    <x:col min="7" max="7" width="10.880000114440918" hidden="0" customWidth="1"/>
    <x:col min="8" max="8" width="15.25" hidden="0" customWidth="1"/>
    <x:col min="9" max="9" width="13.5" hidden="0" customWidth="1"/>
    <x:col min="10" max="10" width="11.5" hidden="0" customWidth="1"/>
    <x:col min="11" max="11" width="10.5" hidden="0" customWidth="1"/>
    <x:col min="12" max="12" width="11.75" hidden="0" customWidth="1"/>
  </x:cols>
  <x:sheetData>
    <x:row r="1">
      <x:c r="A1" s="32" t="str">
        <x:v>Period</x:v>
      </x:c>
      <x:c r="B1" s="32" t="str">
        <x:v>Meal_Period</x:v>
      </x:c>
      <x:c r="C1" s="32" t="str">
        <x:v>Units</x:v>
      </x:c>
      <x:c r="D1" s="32" t="str">
        <x:v>Unit_Basis</x:v>
      </x:c>
      <x:c r="E1" s="38" t="str">
        <x:v>Avg_Spend</x:v>
      </x:c>
      <x:c r="F1" s="38" t="str">
        <x:v>Revenue</x:v>
      </x:c>
      <x:c r="G1" s="38" t="str">
        <x:v>Budget_Units</x:v>
      </x:c>
      <x:c r="H1" s="38" t="str">
        <x:v>Budget_Avg_Spend</x:v>
      </x:c>
      <x:c r="I1" s="38" t="str">
        <x:v>Budget_Revenue</x:v>
      </x:c>
      <x:c r="J1" s="38" t="str">
        <x:v>Volume_Effect</x:v>
      </x:c>
      <x:c r="K1" s="38" t="str">
        <x:v>Spend_Effect</x:v>
      </x:c>
      <x:c r="L1" s="38" t="str">
        <x:v>Total_Variance</x:v>
      </x:c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2026-07</x:v>
      </x:c>
      <x:c r="B2" t="str">
        <x:v>Brunch</x:v>
      </x:c>
      <x:c r="C2" t="n">
        <x:v>700</x:v>
      </x:c>
      <x:c r="D2" t="str">
        <x:v>covers</x:v>
      </x:c>
      <x:c r="E2" t="n">
        <x:v>37</x:v>
      </x:c>
      <x:c r="F2" t="n">
        <x:v>25900</x:v>
      </x:c>
      <x:c r="G2" t="n">
        <x:v>650</x:v>
      </x:c>
      <x:c r="H2" t="n">
        <x:v>36</x:v>
      </x:c>
      <x:c r="I2" t="n">
        <x:v>23400</x:v>
      </x:c>
      <x:c r="J2" t="n">
        <x:f>(C2-G2)*H2</x:f>
        <x:v>1800</x:v>
      </x:c>
      <x:c r="K2" t="n">
        <x:f>C2*(E2-H2)</x:f>
        <x:v>700</x:v>
      </x:c>
      <x:c r="L2" t="n">
        <x:f>F2-I2</x:f>
        <x:v>2500</x:v>
      </x:c>
    </x:row>
    <x:row r="3">
      <x:c r="A3" t="str">
        <x:v>2026-07</x:v>
      </x:c>
      <x:c r="B3" t="str">
        <x:v>Lunch</x:v>
      </x:c>
      <x:c r="C3" t="n">
        <x:v>1480</x:v>
      </x:c>
      <x:c r="D3" t="str">
        <x:v>covers</x:v>
      </x:c>
      <x:c r="E3" t="n">
        <x:v>31</x:v>
      </x:c>
      <x:c r="F3" t="n">
        <x:v>45880</x:v>
      </x:c>
      <x:c r="G3" t="n">
        <x:v>1650</x:v>
      </x:c>
      <x:c r="H3" t="n">
        <x:v>31</x:v>
      </x:c>
      <x:c r="I3" t="n">
        <x:v>51150</x:v>
      </x:c>
      <x:c r="J3" t="n">
        <x:f>(C3-G3)*H3</x:f>
        <x:v>-5270</x:v>
      </x:c>
      <x:c r="K3" t="n">
        <x:f>C3*(E3-H3)</x:f>
        <x:v>0</x:v>
      </x:c>
      <x:c r="L3" t="n">
        <x:f>F3-I3</x:f>
        <x:v>-5270</x:v>
      </x:c>
    </x:row>
    <x:row r="4">
      <x:c r="A4" t="str">
        <x:v>2026-07</x:v>
      </x:c>
      <x:c r="B4" t="str">
        <x:v>Dinner</x:v>
      </x:c>
      <x:c r="C4" t="n">
        <x:v>2390</x:v>
      </x:c>
      <x:c r="D4" t="str">
        <x:v>covers</x:v>
      </x:c>
      <x:c r="E4" t="n">
        <x:v>48</x:v>
      </x:c>
      <x:c r="F4" t="n">
        <x:v>114720</x:v>
      </x:c>
      <x:c r="G4" t="n">
        <x:v>2450</x:v>
      </x:c>
      <x:c r="H4" t="n">
        <x:v>47</x:v>
      </x:c>
      <x:c r="I4" t="n">
        <x:v>115150</x:v>
      </x:c>
      <x:c r="J4" t="n">
        <x:f>(C4-G4)*H4</x:f>
        <x:v>-2820</x:v>
      </x:c>
      <x:c r="K4" t="n">
        <x:f>C4*(E4-H4)</x:f>
        <x:v>2390</x:v>
      </x:c>
      <x:c r="L4" t="n">
        <x:f>F4-I4</x:f>
        <x:v>-430</x:v>
      </x:c>
    </x:row>
    <x:row r="5">
      <x:c r="A5" t="str">
        <x:v>2026-07</x:v>
      </x:c>
      <x:c r="B5" t="str">
        <x:v>Delivery / Takeaway</x:v>
      </x:c>
      <x:c r="C5" t="n">
        <x:v>750</x:v>
      </x:c>
      <x:c r="D5" t="str">
        <x:v>orders</x:v>
      </x:c>
      <x:c r="E5" t="n">
        <x:v>36</x:v>
      </x:c>
      <x:c r="F5" t="n">
        <x:v>27000</x:v>
      </x:c>
      <x:c r="G5" t="n">
        <x:v>700</x:v>
      </x:c>
      <x:c r="H5" t="n">
        <x:v>36</x:v>
      </x:c>
      <x:c r="I5" t="n">
        <x:v>25200</x:v>
      </x:c>
      <x:c r="J5" t="n">
        <x:f>(C5-G5)*H5</x:f>
        <x:v>1800</x:v>
      </x:c>
      <x:c r="K5" t="n">
        <x:f>C5*(E5-H5)</x:f>
        <x:v>0</x:v>
      </x:c>
      <x:c r="L5" t="n">
        <x:f>F5-I5</x:f>
        <x:v>1800</x:v>
      </x:c>
    </x:row>
    <x:row r="6">
      <x:c r="A6" t="str">
        <x:v>2026-07</x:v>
      </x:c>
      <x:c r="B6" t="str">
        <x:v>Private Event</x:v>
      </x:c>
      <x:c r="C6" t="n">
        <x:v>240</x:v>
      </x:c>
      <x:c r="D6" t="str">
        <x:v>guests</x:v>
      </x:c>
      <x:c r="E6" t="n">
        <x:v>52</x:v>
      </x:c>
      <x:c r="F6" t="n">
        <x:v>12480</x:v>
      </x:c>
      <x:c r="G6" t="n">
        <x:v>250</x:v>
      </x:c>
      <x:c r="H6" t="n">
        <x:v>56</x:v>
      </x:c>
      <x:c r="I6" t="n">
        <x:v>14000</x:v>
      </x:c>
      <x:c r="J6" t="n">
        <x:f>(C6-G6)*H6</x:f>
        <x:v>-560</x:v>
      </x:c>
      <x:c r="K6" t="n">
        <x:f>C6*(E6-H6)</x:f>
        <x:v>-960</x:v>
      </x:c>
      <x:c r="L6" t="n">
        <x:f>F6-I6</x:f>
        <x:v>-1520</x:v>
      </x:c>
    </x:row>
    <x:row r="7">
      <x:c r="A7" t="str">
        <x:v>2026-07</x:v>
      </x:c>
      <x:c r="B7" t="str">
        <x:v>Corporate / Group</x:v>
      </x:c>
      <x:c r="C7" t="n">
        <x:v>90</x:v>
      </x:c>
      <x:c r="D7" t="str">
        <x:v>guests</x:v>
      </x:c>
      <x:c r="E7" t="n">
        <x:v>28</x:v>
      </x:c>
      <x:c r="F7" t="n">
        <x:v>2520</x:v>
      </x:c>
      <x:c r="G7" t="n">
        <x:v>100</x:v>
      </x:c>
      <x:c r="H7" t="n">
        <x:v>31</x:v>
      </x:c>
      <x:c r="I7" t="n">
        <x:v>3100</x:v>
      </x:c>
      <x:c r="J7" t="n">
        <x:f>(C7-G7)*H7</x:f>
        <x:v>-310</x:v>
      </x:c>
      <x:c r="K7" t="n">
        <x:f>C7*(E7-H7)</x:f>
        <x:v>-270</x:v>
      </x:c>
      <x:c r="L7" t="n">
        <x:f>F7-I7</x:f>
        <x:v>-580</x:v>
      </x:c>
    </x:row>
    <x:row r="8">
      <x:c r="A8" t="str">
        <x:v>2026-08</x:v>
      </x:c>
      <x:c r="B8" t="str">
        <x:v>Brunch</x:v>
      </x:c>
      <x:c r="C8" t="n">
        <x:v>720</x:v>
      </x:c>
      <x:c r="D8" t="str">
        <x:v>covers</x:v>
      </x:c>
      <x:c r="E8" t="n">
        <x:v>38</x:v>
      </x:c>
      <x:c r="F8" t="n">
        <x:v>27360</x:v>
      </x:c>
      <x:c r="G8" t="n">
        <x:v>670</x:v>
      </x:c>
      <x:c r="H8" t="n">
        <x:v>37</x:v>
      </x:c>
      <x:c r="I8" t="n">
        <x:v>24790</x:v>
      </x:c>
      <x:c r="J8" t="n">
        <x:f>(C8-G8)*H8</x:f>
        <x:v>1850</x:v>
      </x:c>
      <x:c r="K8" t="n">
        <x:f>C8*(E8-H8)</x:f>
        <x:v>720</x:v>
      </x:c>
      <x:c r="L8" t="n">
        <x:f>F8-I8</x:f>
        <x:v>2570</x:v>
      </x:c>
    </x:row>
    <x:row r="9">
      <x:c r="A9" t="str">
        <x:v>2026-08</x:v>
      </x:c>
      <x:c r="B9" t="str">
        <x:v>Lunch</x:v>
      </x:c>
      <x:c r="C9" t="n">
        <x:v>1530</x:v>
      </x:c>
      <x:c r="D9" t="str">
        <x:v>covers</x:v>
      </x:c>
      <x:c r="E9" t="n">
        <x:v>31</x:v>
      </x:c>
      <x:c r="F9" t="n">
        <x:v>47430</x:v>
      </x:c>
      <x:c r="G9" t="n">
        <x:v>1600</x:v>
      </x:c>
      <x:c r="H9" t="n">
        <x:v>31</x:v>
      </x:c>
      <x:c r="I9" t="n">
        <x:v>49600</x:v>
      </x:c>
      <x:c r="J9" t="n">
        <x:f>(C9-G9)*H9</x:f>
        <x:v>-2170</x:v>
      </x:c>
      <x:c r="K9" t="n">
        <x:f>C9*(E9-H9)</x:f>
        <x:v>0</x:v>
      </x:c>
      <x:c r="L9" t="n">
        <x:f>F9-I9</x:f>
        <x:v>-2170</x:v>
      </x:c>
    </x:row>
    <x:row r="10">
      <x:c r="A10" t="str">
        <x:v>2026-08</x:v>
      </x:c>
      <x:c r="B10" t="str">
        <x:v>Dinner</x:v>
      </x:c>
      <x:c r="C10" t="n">
        <x:v>2410</x:v>
      </x:c>
      <x:c r="D10" t="str">
        <x:v>covers</x:v>
      </x:c>
      <x:c r="E10" t="n">
        <x:v>48</x:v>
      </x:c>
      <x:c r="F10" t="n">
        <x:v>115680</x:v>
      </x:c>
      <x:c r="G10" t="n">
        <x:v>2460</x:v>
      </x:c>
      <x:c r="H10" t="n">
        <x:v>48</x:v>
      </x:c>
      <x:c r="I10" t="n">
        <x:v>118080</x:v>
      </x:c>
      <x:c r="J10" t="n">
        <x:f>(C10-G10)*H10</x:f>
        <x:v>-2400</x:v>
      </x:c>
      <x:c r="K10" t="n">
        <x:f>C10*(E10-H10)</x:f>
        <x:v>0</x:v>
      </x:c>
      <x:c r="L10" t="n">
        <x:f>F10-I10</x:f>
        <x:v>-2400</x:v>
      </x:c>
    </x:row>
    <x:row r="11">
      <x:c r="A11" t="str">
        <x:v>2026-08</x:v>
      </x:c>
      <x:c r="B11" t="str">
        <x:v>Delivery / Takeaway</x:v>
      </x:c>
      <x:c r="C11" t="n">
        <x:v>760</x:v>
      </x:c>
      <x:c r="D11" t="str">
        <x:v>orders</x:v>
      </x:c>
      <x:c r="E11" t="n">
        <x:v>36</x:v>
      </x:c>
      <x:c r="F11" t="n">
        <x:v>27360</x:v>
      </x:c>
      <x:c r="G11" t="n">
        <x:v>720</x:v>
      </x:c>
      <x:c r="H11" t="n">
        <x:v>36</x:v>
      </x:c>
      <x:c r="I11" t="n">
        <x:v>25920</x:v>
      </x:c>
      <x:c r="J11" t="n">
        <x:f>(C11-G11)*H11</x:f>
        <x:v>1440</x:v>
      </x:c>
      <x:c r="K11" t="n">
        <x:f>C11*(E11-H11)</x:f>
        <x:v>0</x:v>
      </x:c>
      <x:c r="L11" t="n">
        <x:f>F11-I11</x:f>
        <x:v>1440</x:v>
      </x:c>
    </x:row>
    <x:row r="12">
      <x:c r="A12" t="str">
        <x:v>2026-08</x:v>
      </x:c>
      <x:c r="B12" t="str">
        <x:v>Private Event</x:v>
      </x:c>
      <x:c r="C12" t="n">
        <x:v>230</x:v>
      </x:c>
      <x:c r="D12" t="str">
        <x:v>guests</x:v>
      </x:c>
      <x:c r="E12" t="n">
        <x:v>52</x:v>
      </x:c>
      <x:c r="F12" t="n">
        <x:v>11960</x:v>
      </x:c>
      <x:c r="G12" t="n">
        <x:v>240</x:v>
      </x:c>
      <x:c r="H12" t="n">
        <x:v>54</x:v>
      </x:c>
      <x:c r="I12" t="n">
        <x:v>12960</x:v>
      </x:c>
      <x:c r="J12" t="n">
        <x:f>(C12-G12)*H12</x:f>
        <x:v>-540</x:v>
      </x:c>
      <x:c r="K12" t="n">
        <x:f>C12*(E12-H12)</x:f>
        <x:v>-460</x:v>
      </x:c>
      <x:c r="L12" t="n">
        <x:f>F12-I12</x:f>
        <x:v>-1000</x:v>
      </x:c>
    </x:row>
    <x:row r="13">
      <x:c r="A13" t="str">
        <x:v>2026-08</x:v>
      </x:c>
      <x:c r="B13" t="str">
        <x:v>Corporate / Group</x:v>
      </x:c>
      <x:c r="C13" t="n">
        <x:v>90</x:v>
      </x:c>
      <x:c r="D13" t="str">
        <x:v>guests</x:v>
      </x:c>
      <x:c r="E13" t="n">
        <x:v>29</x:v>
      </x:c>
      <x:c r="F13" t="n">
        <x:v>2610</x:v>
      </x:c>
      <x:c r="G13" t="n">
        <x:v>90</x:v>
      </x:c>
      <x:c r="H13" t="n">
        <x:v>29</x:v>
      </x:c>
      <x:c r="I13" t="n">
        <x:v>2610</x:v>
      </x:c>
      <x:c r="J13" t="n">
        <x:f>(C13-G13)*H13</x:f>
        <x:v>0</x:v>
      </x:c>
      <x:c r="K13" t="n">
        <x:f>C13*(E13-H13)</x:f>
        <x:v>0</x:v>
      </x:c>
      <x:c r="L13" t="n">
        <x:f>F13-I13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6" hidden="0" customWidth="1"/>
    <x:col min="3" max="3" width="15.25" hidden="0" customWidth="1"/>
    <x:col min="4" max="4" width="8.130000114440918" hidden="0" customWidth="1"/>
    <x:col min="5" max="5" width="14.25" hidden="0" customWidth="1"/>
    <x:col min="6" max="6" width="16.5" hidden="0" customWidth="1"/>
    <x:col min="7" max="7" width="7.130000114440918" hidden="0" customWidth="1"/>
    <x:col min="8" max="8" width="12.880000114440918" hidden="0" customWidth="1"/>
    <x:col min="9" max="9" width="13.380000114440918" hidden="0" customWidth="1"/>
    <x:col min="10" max="10" width="15.5" hidden="0" customWidth="1"/>
    <x:col min="11" max="11" width="13" hidden="0" customWidth="1"/>
    <x:col min="12" max="12" width="14" hidden="0" customWidth="1"/>
  </x:cols>
  <x:sheetData>
    <x:row r="1">
      <x:c r="A1" s="32" t="str">
        <x:v>Period</x:v>
      </x:c>
      <x:c r="B1" s="32" t="str">
        <x:v>Product_Group</x:v>
      </x:c>
      <x:c r="C1" s="40" t="str">
        <x:v>Opening_Inventory</x:v>
      </x:c>
      <x:c r="D1" s="40" t="str">
        <x:v>Purchases</x:v>
      </x:c>
      <x:c r="E1" s="40" t="str">
        <x:v>Closing_Inventory</x:v>
      </x:c>
      <x:c r="F1" s="40" t="str">
        <x:v>Actual_Consumption</x:v>
      </x:c>
      <x:c r="G1" s="40" t="str">
        <x:v>Revenue</x:v>
      </x:c>
      <x:c r="H1" s="41" t="str">
        <x:v>Actual_Cost_Pct</x:v>
      </x:c>
      <x:c r="I1" s="41" t="str">
        <x:v>Budget_Cost_Pct</x:v>
      </x:c>
      <x:c r="J1" s="38" t="str">
        <x:v>Budget_Benchmark</x:v>
      </x:c>
      <x:c r="K1" s="38" t="str">
        <x:v>Expected_Usage</x:v>
      </x:c>
      <x:c r="L1" s="38" t="str">
        <x:v>Gap_to_Expected</x:v>
      </x:c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2026-07</x:v>
      </x:c>
      <x:c r="B2" t="str">
        <x:v>Food</x:v>
      </x:c>
      <x:c r="C2" t="n">
        <x:v>9800</x:v>
      </x:c>
      <x:c r="D2" t="n">
        <x:v>62900</x:v>
      </x:c>
      <x:c r="E2" t="n">
        <x:v>11357</x:v>
      </x:c>
      <x:c r="F2" t="n">
        <x:f>C2+D2-E2</x:f>
        <x:v>61343</x:v>
      </x:c>
      <x:c r="G2" t="n">
        <x:v>191100</x:v>
      </x:c>
      <x:c r="H2" t="n">
        <x:f>F2/G2</x:f>
        <x:v>0.32099947671376244</x:v>
      </x:c>
      <x:c r="I2" t="n">
        <x:v>0.3</x:v>
      </x:c>
      <x:c r="J2" t="n">
        <x:f>G2*I2</x:f>
        <x:v>57330</x:v>
      </x:c>
      <x:c r="K2" t="n">
        <x:v>60400</x:v>
      </x:c>
      <x:c r="L2" t="n">
        <x:f>F2-K2</x:f>
        <x:v>943</x:v>
      </x:c>
    </x:row>
    <x:row r="3">
      <x:c r="A3" t="str">
        <x:v>2026-07</x:v>
      </x:c>
      <x:c r="B3" t="str">
        <x:v>Beverage</x:v>
      </x:c>
      <x:c r="C3" t="n">
        <x:v>3500</x:v>
      </x:c>
      <x:c r="D3" t="n">
        <x:v>5900</x:v>
      </x:c>
      <x:c r="E3" t="n">
        <x:v>2961</x:v>
      </x:c>
      <x:c r="F3" t="n">
        <x:f>C3+D3-E3</x:f>
        <x:v>6439</x:v>
      </x:c>
      <x:c r="G3" t="n">
        <x:v>27400</x:v>
      </x:c>
      <x:c r="H3" t="n">
        <x:f>F3/G3</x:f>
        <x:v>0.235</x:v>
      </x:c>
      <x:c r="I3" t="n">
        <x:v>0.22</x:v>
      </x:c>
      <x:c r="J3" t="n">
        <x:f>G3*I3</x:f>
        <x:v>6028</x:v>
      </x:c>
      <x:c r="K3" t="n">
        <x:v>6180</x:v>
      </x:c>
      <x:c r="L3" t="n">
        <x:f>F3-K3</x:f>
        <x:v>259</x:v>
      </x:c>
    </x:row>
    <x:row r="4">
      <x:c r="A4" t="str">
        <x:v>2026-08</x:v>
      </x:c>
      <x:c r="B4" t="str">
        <x:v>Food</x:v>
      </x:c>
      <x:c r="C4" t="n">
        <x:v>11357</x:v>
      </x:c>
      <x:c r="D4" t="n">
        <x:v>60300</x:v>
      </x:c>
      <x:c r="E4" t="n">
        <x:v>12242</x:v>
      </x:c>
      <x:c r="F4" t="n">
        <x:f>C4+D4-E4</x:f>
        <x:v>59415</x:v>
      </x:c>
      <x:c r="G4" t="n">
        <x:v>191660</x:v>
      </x:c>
      <x:c r="H4" t="n">
        <x:f>F4/G4</x:f>
        <x:v>0.3100020870291141</x:v>
      </x:c>
      <x:c r="I4" t="n">
        <x:v>0.3</x:v>
      </x:c>
      <x:c r="J4" t="n">
        <x:f>G4*I4</x:f>
        <x:v>57498</x:v>
      </x:c>
      <x:c r="K4" t="n">
        <x:v>59415</x:v>
      </x:c>
      <x:c r="L4" t="n">
        <x:f>F4-K4</x:f>
        <x:v>0</x:v>
      </x:c>
    </x:row>
    <x:row r="5">
      <x:c r="A5" t="str">
        <x:v>2026-08</x:v>
      </x:c>
      <x:c r="B5" t="str">
        <x:v>Beverage</x:v>
      </x:c>
      <x:c r="C5" t="n">
        <x:v>2961</x:v>
      </x:c>
      <x:c r="D5" t="n">
        <x:v>6100</x:v>
      </x:c>
      <x:c r="E5" t="n">
        <x:v>2786</x:v>
      </x:c>
      <x:c r="F5" t="n">
        <x:f>C5+D5-E5</x:f>
        <x:v>6275</x:v>
      </x:c>
      <x:c r="G5" t="n">
        <x:v>28012</x:v>
      </x:c>
      <x:c r="H5" t="n">
        <x:f>F5/G5</x:f>
        <x:v>0.22401113808367842</x:v>
      </x:c>
      <x:c r="I5" t="n">
        <x:v>0.22</x:v>
      </x:c>
      <x:c r="J5" t="n">
        <x:f>G5*I5</x:f>
        <x:v>6162.64</x:v>
      </x:c>
      <x:c r="K5" t="n">
        <x:v>6275</x:v>
      </x:c>
      <x:c r="L5" t="n">
        <x:f>F5-K5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7.1299991607666" hidden="0" customWidth="1"/>
    <x:col min="3" max="3" width="9.25" hidden="0" customWidth="1"/>
    <x:col min="4" max="4" width="11.380000114440918" hidden="0" customWidth="1"/>
    <x:col min="5" max="5" width="13.130000114440918" hidden="0" customWidth="1"/>
    <x:col min="6" max="6" width="10" hidden="0" customWidth="1"/>
    <x:col min="7" max="7" width="16.3799991607666" hidden="0" customWidth="1"/>
    <x:col min="8" max="8" width="14.25" hidden="0" customWidth="1"/>
    <x:col min="9" max="9" width="28" hidden="0" customWidth="1"/>
  </x:cols>
  <x:sheetData>
    <x:row r="1">
      <x:c r="A1" s="32" t="str">
        <x:v>Period</x:v>
      </x:c>
      <x:c r="B1" s="32" t="str">
        <x:v>Area</x:v>
      </x:c>
      <x:c r="C1" s="40" t="str">
        <x:v>Paid_Hours</x:v>
      </x:c>
      <x:c r="D1" s="40" t="str">
        <x:v>Budget_Hours</x:v>
      </x:c>
      <x:c r="E1" s="40" t="str">
        <x:v>Overtime_Hours</x:v>
      </x:c>
      <x:c r="F1" s="40" t="str">
        <x:v>Labour_Cost</x:v>
      </x:c>
      <x:c r="G1" s="40" t="str">
        <x:v>Budget_Labour_Cost</x:v>
      </x:c>
      <x:c r="H1" s="40" t="str">
        <x:v>Covers_or_Orders</x:v>
      </x:c>
      <x:c r="I1" s="32" t="str">
        <x:v>Notes</x:v>
      </x:c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2026-07</x:v>
      </x:c>
      <x:c r="B2" t="str">
        <x:v>Dinner FOH</x:v>
      </x:c>
      <x:c r="C2" t="n">
        <x:v>1100</x:v>
      </x:c>
      <x:c r="D2" t="n">
        <x:v>1030</x:v>
      </x:c>
      <x:c r="E2" t="n">
        <x:v>100</x:v>
      </x:c>
      <x:c r="F2" t="n">
        <x:v>27000</x:v>
      </x:c>
      <x:c r="G2" t="n">
        <x:v>24850</x:v>
      </x:c>
      <x:c r="H2" t="n">
        <x:v>2390</x:v>
      </x:c>
      <x:c r="I2" t="str">
        <x:v>Weekend call-outs</x:v>
      </x:c>
    </x:row>
    <x:row r="3">
      <x:c r="A3" t="str">
        <x:v>2026-07</x:v>
      </x:c>
      <x:c r="B3" t="str">
        <x:v>Kitchen prep</x:v>
      </x:c>
      <x:c r="C3" t="n">
        <x:v>800</x:v>
      </x:c>
      <x:c r="D3" t="n">
        <x:v>730</x:v>
      </x:c>
      <x:c r="E3" t="n">
        <x:v>40</x:v>
      </x:c>
      <x:c r="F3" t="n">
        <x:v>20500</x:v>
      </x:c>
      <x:c r="G3" t="n">
        <x:v>18300</x:v>
      </x:c>
      <x:c r="H3" t="n">
        <x:v>5650</x:v>
      </x:c>
      <x:c r="I3" t="str">
        <x:v>Prep intensity / roster</x:v>
      </x:c>
    </x:row>
    <x:row r="4">
      <x:c r="A4" t="str">
        <x:v>2026-07</x:v>
      </x:c>
      <x:c r="B4" t="str">
        <x:v>Lunch FOH</x:v>
      </x:c>
      <x:c r="C4" t="n">
        <x:v>750</x:v>
      </x:c>
      <x:c r="D4" t="n">
        <x:v>720</x:v>
      </x:c>
      <x:c r="E4" t="n">
        <x:v>20</x:v>
      </x:c>
      <x:c r="F4" t="n">
        <x:v>17400</x:v>
      </x:c>
      <x:c r="G4" t="n">
        <x:v>16500</x:v>
      </x:c>
      <x:c r="H4" t="n">
        <x:v>1480</x:v>
      </x:c>
      <x:c r="I4" t="str"/>
    </x:row>
    <x:row r="5">
      <x:c r="A5" t="str">
        <x:v>2026-07</x:v>
      </x:c>
      <x:c r="B5" t="str">
        <x:v>Bar</x:v>
      </x:c>
      <x:c r="C5" t="n">
        <x:v>400</x:v>
      </x:c>
      <x:c r="D5" t="n">
        <x:v>390</x:v>
      </x:c>
      <x:c r="E5" t="n">
        <x:v>30</x:v>
      </x:c>
      <x:c r="F5" t="n">
        <x:v>9600</x:v>
      </x:c>
      <x:c r="G5" t="n">
        <x:v>9300</x:v>
      </x:c>
      <x:c r="H5" t="n">
        <x:v>3090</x:v>
      </x:c>
      <x:c r="I5" t="str">
        <x:v>Brunch + Dinner</x:v>
      </x:c>
    </x:row>
    <x:row r="6">
      <x:c r="A6" t="str">
        <x:v>2026-07</x:v>
      </x:c>
      <x:c r="B6" t="str">
        <x:v>Management / shared</x:v>
      </x:c>
      <x:c r="C6" t="n">
        <x:v>430</x:v>
      </x:c>
      <x:c r="D6" t="n">
        <x:v>410</x:v>
      </x:c>
      <x:c r="E6" t="n">
        <x:v>30</x:v>
      </x:c>
      <x:c r="F6" t="n">
        <x:v>9817</x:v>
      </x:c>
      <x:c r="G6" t="n">
        <x:v>10162</x:v>
      </x:c>
      <x:c r="H6" t="n">
        <x:v>5650</x:v>
      </x:c>
      <x:c r="I6" t="str">
        <x:v>Balance to P&amp;L labour</x:v>
      </x:c>
    </x:row>
    <x:row r="7">
      <x:c r="A7" t="str">
        <x:v>2026-08</x:v>
      </x:c>
      <x:c r="B7" t="str">
        <x:v>Dinner FOH</x:v>
      </x:c>
      <x:c r="C7" t="n">
        <x:v>1070</x:v>
      </x:c>
      <x:c r="D7" t="n">
        <x:v>1040</x:v>
      </x:c>
      <x:c r="E7" t="n">
        <x:v>55</x:v>
      </x:c>
      <x:c r="F7" t="n">
        <x:v>25800</x:v>
      </x:c>
      <x:c r="G7" t="n">
        <x:v>25000</x:v>
      </x:c>
      <x:c r="H7" t="n">
        <x:v>2410</x:v>
      </x:c>
      <x:c r="I7" t="str">
        <x:v>Roster revised</x:v>
      </x:c>
    </x:row>
    <x:row r="8">
      <x:c r="A8" t="str">
        <x:v>2026-08</x:v>
      </x:c>
      <x:c r="B8" t="str">
        <x:v>Kitchen prep</x:v>
      </x:c>
      <x:c r="C8" t="n">
        <x:v>760</x:v>
      </x:c>
      <x:c r="D8" t="n">
        <x:v>740</x:v>
      </x:c>
      <x:c r="E8" t="n">
        <x:v>25</x:v>
      </x:c>
      <x:c r="F8" t="n">
        <x:v>19400</x:v>
      </x:c>
      <x:c r="G8" t="n">
        <x:v>18550</x:v>
      </x:c>
      <x:c r="H8" t="n">
        <x:v>5740</x:v>
      </x:c>
      <x:c r="I8" t="str">
        <x:v>Steak cap reduced prep variability</x:v>
      </x:c>
    </x:row>
    <x:row r="9">
      <x:c r="A9" t="str">
        <x:v>2026-08</x:v>
      </x:c>
      <x:c r="B9" t="str">
        <x:v>Lunch FOH</x:v>
      </x:c>
      <x:c r="C9" t="n">
        <x:v>740</x:v>
      </x:c>
      <x:c r="D9" t="n">
        <x:v>730</x:v>
      </x:c>
      <x:c r="E9" t="n">
        <x:v>10</x:v>
      </x:c>
      <x:c r="F9" t="n">
        <x:v>17000</x:v>
      </x:c>
      <x:c r="G9" t="n">
        <x:v>16600</x:v>
      </x:c>
      <x:c r="H9" t="n">
        <x:v>1530</x:v>
      </x:c>
      <x:c r="I9" t="str"/>
    </x:row>
    <x:row r="10">
      <x:c r="A10" t="str">
        <x:v>2026-08</x:v>
      </x:c>
      <x:c r="B10" t="str">
        <x:v>Bar</x:v>
      </x:c>
      <x:c r="C10" t="n">
        <x:v>395</x:v>
      </x:c>
      <x:c r="D10" t="n">
        <x:v>395</x:v>
      </x:c>
      <x:c r="E10" t="n">
        <x:v>20</x:v>
      </x:c>
      <x:c r="F10" t="n">
        <x:v>9400</x:v>
      </x:c>
      <x:c r="G10" t="n">
        <x:v>9400</x:v>
      </x:c>
      <x:c r="H10" t="n">
        <x:v>3130</x:v>
      </x:c>
      <x:c r="I10" t="str"/>
    </x:row>
    <x:row r="11">
      <x:c r="A11" t="str">
        <x:v>2026-08</x:v>
      </x:c>
      <x:c r="B11" t="str">
        <x:v>Management / shared</x:v>
      </x:c>
      <x:c r="C11" t="n">
        <x:v>425</x:v>
      </x:c>
      <x:c r="D11" t="n">
        <x:v>415</x:v>
      </x:c>
      <x:c r="E11" t="n">
        <x:v>15</x:v>
      </x:c>
      <x:c r="F11" t="n">
        <x:v>9500</x:v>
      </x:c>
      <x:c r="G11" t="n">
        <x:v>10450</x:v>
      </x:c>
      <x:c r="H11" t="n">
        <x:v>5740</x:v>
      </x:c>
      <x:c r="I1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8.880000114440918" hidden="0" customWidth="1"/>
    <x:col min="3" max="3" width="24" hidden="0" customWidth="1"/>
    <x:col min="4" max="4" width="20" hidden="0" customWidth="1"/>
    <x:col min="5" max="5" width="4.5" hidden="0" customWidth="1"/>
    <x:col min="6" max="6" width="8" hidden="0" customWidth="1"/>
    <x:col min="7" max="7" width="10.75" hidden="0" customWidth="1"/>
    <x:col min="8" max="8" width="19.8799991607666" hidden="0" customWidth="1"/>
    <x:col min="9" max="9" width="16.75" hidden="0" customWidth="1"/>
    <x:col min="10" max="10" width="13.630000114440918" hidden="0" customWidth="1"/>
  </x:cols>
  <x:sheetData>
    <x:row r="1">
      <x:c r="A1" s="32" t="str">
        <x:v>Period</x:v>
      </x:c>
      <x:c r="B1" s="32" t="str">
        <x:v>Item_Code</x:v>
      </x:c>
      <x:c r="C1" s="32" t="str">
        <x:v>Item</x:v>
      </x:c>
      <x:c r="D1" s="32" t="str">
        <x:v>Population</x:v>
      </x:c>
      <x:c r="E1" s="44" t="str">
        <x:v>Units</x:v>
      </x:c>
      <x:c r="F1" s="40" t="str">
        <x:v>Net_Price</x:v>
      </x:c>
      <x:c r="G1" s="40" t="str">
        <x:v>Net_Revenue</x:v>
      </x:c>
      <x:c r="H1" s="40" t="str">
        <x:v>Approved_Cost_per_Unit</x:v>
      </x:c>
      <x:c r="I1" s="40" t="str">
        <x:v>Classic_CM_per_Unit</x:v>
      </x:c>
      <x:c r="J1" s="40" t="str">
        <x:v>Classic_CM_Total</x:v>
      </x:c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2026-01</x:v>
      </x:c>
      <x:c r="B2" t="str">
        <x:v>F01</x:v>
      </x:c>
      <x:c r="C2" t="str">
        <x:v>Ribeye Steak</x:v>
      </x:c>
      <x:c r="D2" t="str">
        <x:v>Mains</x:v>
      </x:c>
      <x:c r="E2" t="n">
        <x:v>792</x:v>
      </x:c>
      <x:c r="F2" t="n">
        <x:v>45</x:v>
      </x:c>
      <x:c r="G2" t="n">
        <x:f>E2*F2</x:f>
        <x:v>35640</x:v>
      </x:c>
      <x:c r="H2" t="n">
        <x:v>17</x:v>
      </x:c>
      <x:c r="I2" t="n">
        <x:f>F2-H2</x:f>
        <x:v>28</x:v>
      </x:c>
      <x:c r="J2" t="n">
        <x:f>E2*I2</x:f>
        <x:v>22176</x:v>
      </x:c>
    </x:row>
    <x:row r="3">
      <x:c r="A3" t="str">
        <x:v>2026-01</x:v>
      </x:c>
      <x:c r="B3" t="str">
        <x:v>F02</x:v>
      </x:c>
      <x:c r="C3" t="str">
        <x:v>House Burger</x:v>
      </x:c>
      <x:c r="D3" t="str">
        <x:v>Mains</x:v>
      </x:c>
      <x:c r="E3" t="n">
        <x:v>1408</x:v>
      </x:c>
      <x:c r="F3" t="n">
        <x:v>22</x:v>
      </x:c>
      <x:c r="G3" t="n">
        <x:f>E3*F3</x:f>
        <x:v>30976</x:v>
      </x:c>
      <x:c r="H3" t="n">
        <x:v>7</x:v>
      </x:c>
      <x:c r="I3" t="n">
        <x:f>F3-H3</x:f>
        <x:v>15</x:v>
      </x:c>
      <x:c r="J3" t="n">
        <x:f>E3*I3</x:f>
        <x:v>21120</x:v>
      </x:c>
    </x:row>
    <x:row r="4">
      <x:c r="A4" t="str">
        <x:v>2026-01</x:v>
      </x:c>
      <x:c r="B4" t="str">
        <x:v>F03</x:v>
      </x:c>
      <x:c r="C4" t="str">
        <x:v>Club Sandwich</x:v>
      </x:c>
      <x:c r="D4" t="str">
        <x:v>Mains</x:v>
      </x:c>
      <x:c r="E4" t="n">
        <x:v>1320</x:v>
      </x:c>
      <x:c r="F4" t="n">
        <x:v>18</x:v>
      </x:c>
      <x:c r="G4" t="n">
        <x:f>E4*F4</x:f>
        <x:v>23760</x:v>
      </x:c>
      <x:c r="H4" t="n">
        <x:v>5.5</x:v>
      </x:c>
      <x:c r="I4" t="n">
        <x:f>F4-H4</x:f>
        <x:v>12.5</x:v>
      </x:c>
      <x:c r="J4" t="n">
        <x:f>E4*I4</x:f>
        <x:v>16500</x:v>
      </x:c>
    </x:row>
    <x:row r="5">
      <x:c r="A5" t="str">
        <x:v>2026-01</x:v>
      </x:c>
      <x:c r="B5" t="str">
        <x:v>F04</x:v>
      </x:c>
      <x:c r="C5" t="str">
        <x:v>Grilled Chicken</x:v>
      </x:c>
      <x:c r="D5" t="str">
        <x:v>Mains</x:v>
      </x:c>
      <x:c r="E5" t="n">
        <x:v>1232</x:v>
      </x:c>
      <x:c r="F5" t="n">
        <x:v>24</x:v>
      </x:c>
      <x:c r="G5" t="n">
        <x:f>E5*F5</x:f>
        <x:v>29568</x:v>
      </x:c>
      <x:c r="H5" t="n">
        <x:v>6.5</x:v>
      </x:c>
      <x:c r="I5" t="n">
        <x:f>F5-H5</x:f>
        <x:v>17.5</x:v>
      </x:c>
      <x:c r="J5" t="n">
        <x:f>E5*I5</x:f>
        <x:v>21560</x:v>
      </x:c>
    </x:row>
    <x:row r="6">
      <x:c r="A6" t="str">
        <x:v>2026-01</x:v>
      </x:c>
      <x:c r="B6" t="str">
        <x:v>F05</x:v>
      </x:c>
      <x:c r="C6" t="str">
        <x:v>Local Seafood Plate</x:v>
      </x:c>
      <x:c r="D6" t="str">
        <x:v>Mains</x:v>
      </x:c>
      <x:c r="E6" t="n">
        <x:v>616</x:v>
      </x:c>
      <x:c r="F6" t="n">
        <x:v>38</x:v>
      </x:c>
      <x:c r="G6" t="n">
        <x:f>E6*F6</x:f>
        <x:v>23408</x:v>
      </x:c>
      <x:c r="H6" t="n">
        <x:v>12.5</x:v>
      </x:c>
      <x:c r="I6" t="n">
        <x:f>F6-H6</x:f>
        <x:v>25.5</x:v>
      </x:c>
      <x:c r="J6" t="n">
        <x:f>E6*I6</x:f>
        <x:v>15708</x:v>
      </x:c>
    </x:row>
    <x:row r="7">
      <x:c r="A7" t="str">
        <x:v>2026-01</x:v>
      </x:c>
      <x:c r="B7" t="str">
        <x:v>F06</x:v>
      </x:c>
      <x:c r="C7" t="str">
        <x:v>Vegan Curry</x:v>
      </x:c>
      <x:c r="D7" t="str">
        <x:v>Mains</x:v>
      </x:c>
      <x:c r="E7" t="n">
        <x:v>704</x:v>
      </x:c>
      <x:c r="F7" t="n">
        <x:v>19</x:v>
      </x:c>
      <x:c r="G7" t="n">
        <x:f>E7*F7</x:f>
        <x:v>13376</x:v>
      </x:c>
      <x:c r="H7" t="n">
        <x:v>5</x:v>
      </x:c>
      <x:c r="I7" t="n">
        <x:f>F7-H7</x:f>
        <x:v>14</x:v>
      </x:c>
      <x:c r="J7" t="n">
        <x:f>E7*I7</x:f>
        <x:v>9856</x:v>
      </x:c>
    </x:row>
    <x:row r="8">
      <x:c r="A8" t="str">
        <x:v>2026-01</x:v>
      </x:c>
      <x:c r="B8" t="str">
        <x:v>F07</x:v>
      </x:c>
      <x:c r="C8" t="str">
        <x:v>Seasonal Soup</x:v>
      </x:c>
      <x:c r="D8" t="str">
        <x:v>Starters &amp; Desserts</x:v>
      </x:c>
      <x:c r="E8" t="n">
        <x:v>440</x:v>
      </x:c>
      <x:c r="F8" t="n">
        <x:v>12</x:v>
      </x:c>
      <x:c r="G8" t="n">
        <x:f>E8*F8</x:f>
        <x:v>5280</x:v>
      </x:c>
      <x:c r="H8" t="n">
        <x:v>3</x:v>
      </x:c>
      <x:c r="I8" t="n">
        <x:f>F8-H8</x:f>
        <x:v>9</x:v>
      </x:c>
      <x:c r="J8" t="n">
        <x:f>E8*I8</x:f>
        <x:v>3960</x:v>
      </x:c>
    </x:row>
    <x:row r="9">
      <x:c r="A9" t="str">
        <x:v>2026-01</x:v>
      </x:c>
      <x:c r="B9" t="str">
        <x:v>F08</x:v>
      </x:c>
      <x:c r="C9" t="str">
        <x:v>Chocolate Tart</x:v>
      </x:c>
      <x:c r="D9" t="str">
        <x:v>Starters &amp; Desserts</x:v>
      </x:c>
      <x:c r="E9" t="n">
        <x:v>440</x:v>
      </x:c>
      <x:c r="F9" t="n">
        <x:v>14</x:v>
      </x:c>
      <x:c r="G9" t="n">
        <x:f>E9*F9</x:f>
        <x:v>6160</x:v>
      </x:c>
      <x:c r="H9" t="n">
        <x:v>4.6</x:v>
      </x:c>
      <x:c r="I9" t="n">
        <x:f>F9-H9</x:f>
        <x:v>9.4</x:v>
      </x:c>
      <x:c r="J9" t="n">
        <x:f>E9*I9</x:f>
        <x:v>4136</x:v>
      </x:c>
    </x:row>
    <x:row r="10">
      <x:c r="A10" t="str">
        <x:v>2026-01</x:v>
      </x:c>
      <x:c r="B10" t="str">
        <x:v>B01</x:v>
      </x:c>
      <x:c r="C10" t="str">
        <x:v>House Beer</x:v>
      </x:c>
      <x:c r="D10" t="str">
        <x:v>Beverages</x:v>
      </x:c>
      <x:c r="E10" t="n">
        <x:v>792</x:v>
      </x:c>
      <x:c r="F10" t="n">
        <x:v>8</x:v>
      </x:c>
      <x:c r="G10" t="n">
        <x:f>E10*F10</x:f>
        <x:v>6336</x:v>
      </x:c>
      <x:c r="H10" t="n">
        <x:v>1.8</x:v>
      </x:c>
      <x:c r="I10" t="n">
        <x:f>F10-H10</x:f>
        <x:v>6.2</x:v>
      </x:c>
      <x:c r="J10" t="n">
        <x:f>E10*I10</x:f>
        <x:v>4910.400000000001</x:v>
      </x:c>
    </x:row>
    <x:row r="11">
      <x:c r="A11" t="str">
        <x:v>2026-01</x:v>
      </x:c>
      <x:c r="B11" t="str">
        <x:v>B02</x:v>
      </x:c>
      <x:c r="C11" t="str">
        <x:v>Local Wine</x:v>
      </x:c>
      <x:c r="D11" t="str">
        <x:v>Beverages</x:v>
      </x:c>
      <x:c r="E11" t="n">
        <x:v>440</x:v>
      </x:c>
      <x:c r="F11" t="n">
        <x:v>18</x:v>
      </x:c>
      <x:c r="G11" t="n">
        <x:f>E11*F11</x:f>
        <x:v>7920</x:v>
      </x:c>
      <x:c r="H11" t="n">
        <x:v>4.8</x:v>
      </x:c>
      <x:c r="I11" t="n">
        <x:f>F11-H11</x:f>
        <x:v>13.2</x:v>
      </x:c>
      <x:c r="J11" t="n">
        <x:f>E11*I11</x:f>
        <x:v>5808</x:v>
      </x:c>
    </x:row>
    <x:row r="12">
      <x:c r="A12" t="str">
        <x:v>2026-01</x:v>
      </x:c>
      <x:c r="B12" t="str">
        <x:v>B03</x:v>
      </x:c>
      <x:c r="C12" t="str">
        <x:v>Soft Drinks</x:v>
      </x:c>
      <x:c r="D12" t="str">
        <x:v>Beverages</x:v>
      </x:c>
      <x:c r="E12" t="n">
        <x:v>704</x:v>
      </x:c>
      <x:c r="F12" t="n">
        <x:v>5</x:v>
      </x:c>
      <x:c r="G12" t="n">
        <x:f>E12*F12</x:f>
        <x:v>3520</x:v>
      </x:c>
      <x:c r="H12" t="n">
        <x:v>0.9</x:v>
      </x:c>
      <x:c r="I12" t="n">
        <x:f>F12-H12</x:f>
        <x:v>4.1</x:v>
      </x:c>
      <x:c r="J12" t="n">
        <x:f>E12*I12</x:f>
        <x:v>2886.3999999999996</x:v>
      </x:c>
    </x:row>
    <x:row r="13">
      <x:c r="A13" t="str">
        <x:v>2026-01</x:v>
      </x:c>
      <x:c r="B13" t="str">
        <x:v>B04</x:v>
      </x:c>
      <x:c r="C13" t="str">
        <x:v>Cocktails</x:v>
      </x:c>
      <x:c r="D13" t="str">
        <x:v>Beverages</x:v>
      </x:c>
      <x:c r="E13" t="n">
        <x:v>352</x:v>
      </x:c>
      <x:c r="F13" t="n">
        <x:v>18</x:v>
      </x:c>
      <x:c r="G13" t="n">
        <x:f>E13*F13</x:f>
        <x:v>6336</x:v>
      </x:c>
      <x:c r="H13" t="n">
        <x:v>3.6</x:v>
      </x:c>
      <x:c r="I13" t="n">
        <x:f>F13-H13</x:f>
        <x:v>14.4</x:v>
      </x:c>
      <x:c r="J13" t="n">
        <x:f>E13*I13</x:f>
        <x:v>5068.8</x:v>
      </x:c>
    </x:row>
    <x:row r="14">
      <x:c r="A14" t="str">
        <x:v>2026-02</x:v>
      </x:c>
      <x:c r="B14" t="str">
        <x:v>F01</x:v>
      </x:c>
      <x:c r="C14" t="str">
        <x:v>Ribeye Steak</x:v>
      </x:c>
      <x:c r="D14" t="str">
        <x:v>Mains</x:v>
      </x:c>
      <x:c r="E14" t="n">
        <x:v>828</x:v>
      </x:c>
      <x:c r="F14" t="n">
        <x:v>45</x:v>
      </x:c>
      <x:c r="G14" t="n">
        <x:f>E14*F14</x:f>
        <x:v>37260</x:v>
      </x:c>
      <x:c r="H14" t="n">
        <x:v>17</x:v>
      </x:c>
      <x:c r="I14" t="n">
        <x:f>F14-H14</x:f>
        <x:v>28</x:v>
      </x:c>
      <x:c r="J14" t="n">
        <x:f>E14*I14</x:f>
        <x:v>23184</x:v>
      </x:c>
    </x:row>
    <x:row r="15">
      <x:c r="A15" t="str">
        <x:v>2026-02</x:v>
      </x:c>
      <x:c r="B15" t="str">
        <x:v>F02</x:v>
      </x:c>
      <x:c r="C15" t="str">
        <x:v>House Burger</x:v>
      </x:c>
      <x:c r="D15" t="str">
        <x:v>Mains</x:v>
      </x:c>
      <x:c r="E15" t="n">
        <x:v>1472</x:v>
      </x:c>
      <x:c r="F15" t="n">
        <x:v>22</x:v>
      </x:c>
      <x:c r="G15" t="n">
        <x:f>E15*F15</x:f>
        <x:v>32384</x:v>
      </x:c>
      <x:c r="H15" t="n">
        <x:v>7</x:v>
      </x:c>
      <x:c r="I15" t="n">
        <x:f>F15-H15</x:f>
        <x:v>15</x:v>
      </x:c>
      <x:c r="J15" t="n">
        <x:f>E15*I15</x:f>
        <x:v>22080</x:v>
      </x:c>
    </x:row>
    <x:row r="16">
      <x:c r="A16" t="str">
        <x:v>2026-02</x:v>
      </x:c>
      <x:c r="B16" t="str">
        <x:v>F03</x:v>
      </x:c>
      <x:c r="C16" t="str">
        <x:v>Club Sandwich</x:v>
      </x:c>
      <x:c r="D16" t="str">
        <x:v>Mains</x:v>
      </x:c>
      <x:c r="E16" t="n">
        <x:v>1380</x:v>
      </x:c>
      <x:c r="F16" t="n">
        <x:v>18</x:v>
      </x:c>
      <x:c r="G16" t="n">
        <x:f>E16*F16</x:f>
        <x:v>24840</x:v>
      </x:c>
      <x:c r="H16" t="n">
        <x:v>5.5</x:v>
      </x:c>
      <x:c r="I16" t="n">
        <x:f>F16-H16</x:f>
        <x:v>12.5</x:v>
      </x:c>
      <x:c r="J16" t="n">
        <x:f>E16*I16</x:f>
        <x:v>17250</x:v>
      </x:c>
    </x:row>
    <x:row r="17">
      <x:c r="A17" t="str">
        <x:v>2026-02</x:v>
      </x:c>
      <x:c r="B17" t="str">
        <x:v>F04</x:v>
      </x:c>
      <x:c r="C17" t="str">
        <x:v>Grilled Chicken</x:v>
      </x:c>
      <x:c r="D17" t="str">
        <x:v>Mains</x:v>
      </x:c>
      <x:c r="E17" t="n">
        <x:v>1288</x:v>
      </x:c>
      <x:c r="F17" t="n">
        <x:v>24</x:v>
      </x:c>
      <x:c r="G17" t="n">
        <x:f>E17*F17</x:f>
        <x:v>30912</x:v>
      </x:c>
      <x:c r="H17" t="n">
        <x:v>6.5</x:v>
      </x:c>
      <x:c r="I17" t="n">
        <x:f>F17-H17</x:f>
        <x:v>17.5</x:v>
      </x:c>
      <x:c r="J17" t="n">
        <x:f>E17*I17</x:f>
        <x:v>22540</x:v>
      </x:c>
    </x:row>
    <x:row r="18">
      <x:c r="A18" t="str">
        <x:v>2026-02</x:v>
      </x:c>
      <x:c r="B18" t="str">
        <x:v>F05</x:v>
      </x:c>
      <x:c r="C18" t="str">
        <x:v>Local Seafood Plate</x:v>
      </x:c>
      <x:c r="D18" t="str">
        <x:v>Mains</x:v>
      </x:c>
      <x:c r="E18" t="n">
        <x:v>644</x:v>
      </x:c>
      <x:c r="F18" t="n">
        <x:v>38</x:v>
      </x:c>
      <x:c r="G18" t="n">
        <x:f>E18*F18</x:f>
        <x:v>24472</x:v>
      </x:c>
      <x:c r="H18" t="n">
        <x:v>12.5</x:v>
      </x:c>
      <x:c r="I18" t="n">
        <x:f>F18-H18</x:f>
        <x:v>25.5</x:v>
      </x:c>
      <x:c r="J18" t="n">
        <x:f>E18*I18</x:f>
        <x:v>16422</x:v>
      </x:c>
    </x:row>
    <x:row r="19">
      <x:c r="A19" t="str">
        <x:v>2026-02</x:v>
      </x:c>
      <x:c r="B19" t="str">
        <x:v>F06</x:v>
      </x:c>
      <x:c r="C19" t="str">
        <x:v>Vegan Curry</x:v>
      </x:c>
      <x:c r="D19" t="str">
        <x:v>Mains</x:v>
      </x:c>
      <x:c r="E19" t="n">
        <x:v>736</x:v>
      </x:c>
      <x:c r="F19" t="n">
        <x:v>19</x:v>
      </x:c>
      <x:c r="G19" t="n">
        <x:f>E19*F19</x:f>
        <x:v>13984</x:v>
      </x:c>
      <x:c r="H19" t="n">
        <x:v>5</x:v>
      </x:c>
      <x:c r="I19" t="n">
        <x:f>F19-H19</x:f>
        <x:v>14</x:v>
      </x:c>
      <x:c r="J19" t="n">
        <x:f>E19*I19</x:f>
        <x:v>10304</x:v>
      </x:c>
    </x:row>
    <x:row r="20">
      <x:c r="A20" t="str">
        <x:v>2026-02</x:v>
      </x:c>
      <x:c r="B20" t="str">
        <x:v>F07</x:v>
      </x:c>
      <x:c r="C20" t="str">
        <x:v>Seasonal Soup</x:v>
      </x:c>
      <x:c r="D20" t="str">
        <x:v>Starters &amp; Desserts</x:v>
      </x:c>
      <x:c r="E20" t="n">
        <x:v>460</x:v>
      </x:c>
      <x:c r="F20" t="n">
        <x:v>12</x:v>
      </x:c>
      <x:c r="G20" t="n">
        <x:f>E20*F20</x:f>
        <x:v>5520</x:v>
      </x:c>
      <x:c r="H20" t="n">
        <x:v>3</x:v>
      </x:c>
      <x:c r="I20" t="n">
        <x:f>F20-H20</x:f>
        <x:v>9</x:v>
      </x:c>
      <x:c r="J20" t="n">
        <x:f>E20*I20</x:f>
        <x:v>4140</x:v>
      </x:c>
    </x:row>
    <x:row r="21">
      <x:c r="A21" t="str">
        <x:v>2026-02</x:v>
      </x:c>
      <x:c r="B21" t="str">
        <x:v>F08</x:v>
      </x:c>
      <x:c r="C21" t="str">
        <x:v>Chocolate Tart</x:v>
      </x:c>
      <x:c r="D21" t="str">
        <x:v>Starters &amp; Desserts</x:v>
      </x:c>
      <x:c r="E21" t="n">
        <x:v>460</x:v>
      </x:c>
      <x:c r="F21" t="n">
        <x:v>14</x:v>
      </x:c>
      <x:c r="G21" t="n">
        <x:f>E21*F21</x:f>
        <x:v>6440</x:v>
      </x:c>
      <x:c r="H21" t="n">
        <x:v>4.6</x:v>
      </x:c>
      <x:c r="I21" t="n">
        <x:f>F21-H21</x:f>
        <x:v>9.4</x:v>
      </x:c>
      <x:c r="J21" t="n">
        <x:f>E21*I21</x:f>
        <x:v>4324</x:v>
      </x:c>
    </x:row>
    <x:row r="22">
      <x:c r="A22" t="str">
        <x:v>2026-02</x:v>
      </x:c>
      <x:c r="B22" t="str">
        <x:v>B01</x:v>
      </x:c>
      <x:c r="C22" t="str">
        <x:v>House Beer</x:v>
      </x:c>
      <x:c r="D22" t="str">
        <x:v>Beverages</x:v>
      </x:c>
      <x:c r="E22" t="n">
        <x:v>828</x:v>
      </x:c>
      <x:c r="F22" t="n">
        <x:v>8</x:v>
      </x:c>
      <x:c r="G22" t="n">
        <x:f>E22*F22</x:f>
        <x:v>6624</x:v>
      </x:c>
      <x:c r="H22" t="n">
        <x:v>1.8</x:v>
      </x:c>
      <x:c r="I22" t="n">
        <x:f>F22-H22</x:f>
        <x:v>6.2</x:v>
      </x:c>
      <x:c r="J22" t="n">
        <x:f>E22*I22</x:f>
        <x:v>5133.6</x:v>
      </x:c>
    </x:row>
    <x:row r="23">
      <x:c r="A23" t="str">
        <x:v>2026-02</x:v>
      </x:c>
      <x:c r="B23" t="str">
        <x:v>B02</x:v>
      </x:c>
      <x:c r="C23" t="str">
        <x:v>Local Wine</x:v>
      </x:c>
      <x:c r="D23" t="str">
        <x:v>Beverages</x:v>
      </x:c>
      <x:c r="E23" t="n">
        <x:v>460</x:v>
      </x:c>
      <x:c r="F23" t="n">
        <x:v>18</x:v>
      </x:c>
      <x:c r="G23" t="n">
        <x:f>E23*F23</x:f>
        <x:v>8280</x:v>
      </x:c>
      <x:c r="H23" t="n">
        <x:v>4.8</x:v>
      </x:c>
      <x:c r="I23" t="n">
        <x:f>F23-H23</x:f>
        <x:v>13.2</x:v>
      </x:c>
      <x:c r="J23" t="n">
        <x:f>E23*I23</x:f>
        <x:v>6072</x:v>
      </x:c>
    </x:row>
    <x:row r="24">
      <x:c r="A24" t="str">
        <x:v>2026-02</x:v>
      </x:c>
      <x:c r="B24" t="str">
        <x:v>B03</x:v>
      </x:c>
      <x:c r="C24" t="str">
        <x:v>Soft Drinks</x:v>
      </x:c>
      <x:c r="D24" t="str">
        <x:v>Beverages</x:v>
      </x:c>
      <x:c r="E24" t="n">
        <x:v>736</x:v>
      </x:c>
      <x:c r="F24" t="n">
        <x:v>5</x:v>
      </x:c>
      <x:c r="G24" t="n">
        <x:f>E24*F24</x:f>
        <x:v>3680</x:v>
      </x:c>
      <x:c r="H24" t="n">
        <x:v>0.9</x:v>
      </x:c>
      <x:c r="I24" t="n">
        <x:f>F24-H24</x:f>
        <x:v>4.1</x:v>
      </x:c>
      <x:c r="J24" t="n">
        <x:f>E24*I24</x:f>
        <x:v>3017.6</x:v>
      </x:c>
    </x:row>
    <x:row r="25">
      <x:c r="A25" t="str">
        <x:v>2026-02</x:v>
      </x:c>
      <x:c r="B25" t="str">
        <x:v>B04</x:v>
      </x:c>
      <x:c r="C25" t="str">
        <x:v>Cocktails</x:v>
      </x:c>
      <x:c r="D25" t="str">
        <x:v>Beverages</x:v>
      </x:c>
      <x:c r="E25" t="n">
        <x:v>368</x:v>
      </x:c>
      <x:c r="F25" t="n">
        <x:v>18</x:v>
      </x:c>
      <x:c r="G25" t="n">
        <x:f>E25*F25</x:f>
        <x:v>6624</x:v>
      </x:c>
      <x:c r="H25" t="n">
        <x:v>3.6</x:v>
      </x:c>
      <x:c r="I25" t="n">
        <x:f>F25-H25</x:f>
        <x:v>14.4</x:v>
      </x:c>
      <x:c r="J25" t="n">
        <x:f>E25*I25</x:f>
        <x:v>5299.2</x:v>
      </x:c>
    </x:row>
    <x:row r="26">
      <x:c r="A26" t="str">
        <x:v>2026-03</x:v>
      </x:c>
      <x:c r="B26" t="str">
        <x:v>F01</x:v>
      </x:c>
      <x:c r="C26" t="str">
        <x:v>Ribeye Steak</x:v>
      </x:c>
      <x:c r="D26" t="str">
        <x:v>Mains</x:v>
      </x:c>
      <x:c r="E26" t="n">
        <x:v>855</x:v>
      </x:c>
      <x:c r="F26" t="n">
        <x:v>45</x:v>
      </x:c>
      <x:c r="G26" t="n">
        <x:f>E26*F26</x:f>
        <x:v>38475</x:v>
      </x:c>
      <x:c r="H26" t="n">
        <x:v>17</x:v>
      </x:c>
      <x:c r="I26" t="n">
        <x:f>F26-H26</x:f>
        <x:v>28</x:v>
      </x:c>
      <x:c r="J26" t="n">
        <x:f>E26*I26</x:f>
        <x:v>23940</x:v>
      </x:c>
    </x:row>
    <x:row r="27">
      <x:c r="A27" t="str">
        <x:v>2026-03</x:v>
      </x:c>
      <x:c r="B27" t="str">
        <x:v>F02</x:v>
      </x:c>
      <x:c r="C27" t="str">
        <x:v>House Burger</x:v>
      </x:c>
      <x:c r="D27" t="str">
        <x:v>Mains</x:v>
      </x:c>
      <x:c r="E27" t="n">
        <x:v>1520</x:v>
      </x:c>
      <x:c r="F27" t="n">
        <x:v>22</x:v>
      </x:c>
      <x:c r="G27" t="n">
        <x:f>E27*F27</x:f>
        <x:v>33440</x:v>
      </x:c>
      <x:c r="H27" t="n">
        <x:v>7</x:v>
      </x:c>
      <x:c r="I27" t="n">
        <x:f>F27-H27</x:f>
        <x:v>15</x:v>
      </x:c>
      <x:c r="J27" t="n">
        <x:f>E27*I27</x:f>
        <x:v>22800</x:v>
      </x:c>
    </x:row>
    <x:row r="28">
      <x:c r="A28" t="str">
        <x:v>2026-03</x:v>
      </x:c>
      <x:c r="B28" t="str">
        <x:v>F03</x:v>
      </x:c>
      <x:c r="C28" t="str">
        <x:v>Club Sandwich</x:v>
      </x:c>
      <x:c r="D28" t="str">
        <x:v>Mains</x:v>
      </x:c>
      <x:c r="E28" t="n">
        <x:v>1425</x:v>
      </x:c>
      <x:c r="F28" t="n">
        <x:v>18</x:v>
      </x:c>
      <x:c r="G28" t="n">
        <x:f>E28*F28</x:f>
        <x:v>25650</x:v>
      </x:c>
      <x:c r="H28" t="n">
        <x:v>5.5</x:v>
      </x:c>
      <x:c r="I28" t="n">
        <x:f>F28-H28</x:f>
        <x:v>12.5</x:v>
      </x:c>
      <x:c r="J28" t="n">
        <x:f>E28*I28</x:f>
        <x:v>17812.5</x:v>
      </x:c>
    </x:row>
    <x:row r="29">
      <x:c r="A29" t="str">
        <x:v>2026-03</x:v>
      </x:c>
      <x:c r="B29" t="str">
        <x:v>F04</x:v>
      </x:c>
      <x:c r="C29" t="str">
        <x:v>Grilled Chicken</x:v>
      </x:c>
      <x:c r="D29" t="str">
        <x:v>Mains</x:v>
      </x:c>
      <x:c r="E29" t="n">
        <x:v>1330</x:v>
      </x:c>
      <x:c r="F29" t="n">
        <x:v>24</x:v>
      </x:c>
      <x:c r="G29" t="n">
        <x:f>E29*F29</x:f>
        <x:v>31920</x:v>
      </x:c>
      <x:c r="H29" t="n">
        <x:v>6.5</x:v>
      </x:c>
      <x:c r="I29" t="n">
        <x:f>F29-H29</x:f>
        <x:v>17.5</x:v>
      </x:c>
      <x:c r="J29" t="n">
        <x:f>E29*I29</x:f>
        <x:v>23275</x:v>
      </x:c>
    </x:row>
    <x:row r="30">
      <x:c r="A30" t="str">
        <x:v>2026-03</x:v>
      </x:c>
      <x:c r="B30" t="str">
        <x:v>F05</x:v>
      </x:c>
      <x:c r="C30" t="str">
        <x:v>Local Seafood Plate</x:v>
      </x:c>
      <x:c r="D30" t="str">
        <x:v>Mains</x:v>
      </x:c>
      <x:c r="E30" t="n">
        <x:v>665</x:v>
      </x:c>
      <x:c r="F30" t="n">
        <x:v>38</x:v>
      </x:c>
      <x:c r="G30" t="n">
        <x:f>E30*F30</x:f>
        <x:v>25270</x:v>
      </x:c>
      <x:c r="H30" t="n">
        <x:v>12.5</x:v>
      </x:c>
      <x:c r="I30" t="n">
        <x:f>F30-H30</x:f>
        <x:v>25.5</x:v>
      </x:c>
      <x:c r="J30" t="n">
        <x:f>E30*I30</x:f>
        <x:v>16957.5</x:v>
      </x:c>
    </x:row>
    <x:row r="31">
      <x:c r="A31" t="str">
        <x:v>2026-03</x:v>
      </x:c>
      <x:c r="B31" t="str">
        <x:v>F06</x:v>
      </x:c>
      <x:c r="C31" t="str">
        <x:v>Vegan Curry</x:v>
      </x:c>
      <x:c r="D31" t="str">
        <x:v>Mains</x:v>
      </x:c>
      <x:c r="E31" t="n">
        <x:v>760</x:v>
      </x:c>
      <x:c r="F31" t="n">
        <x:v>19</x:v>
      </x:c>
      <x:c r="G31" t="n">
        <x:f>E31*F31</x:f>
        <x:v>14440</x:v>
      </x:c>
      <x:c r="H31" t="n">
        <x:v>5</x:v>
      </x:c>
      <x:c r="I31" t="n">
        <x:f>F31-H31</x:f>
        <x:v>14</x:v>
      </x:c>
      <x:c r="J31" t="n">
        <x:f>E31*I31</x:f>
        <x:v>10640</x:v>
      </x:c>
    </x:row>
    <x:row r="32">
      <x:c r="A32" t="str">
        <x:v>2026-03</x:v>
      </x:c>
      <x:c r="B32" t="str">
        <x:v>F07</x:v>
      </x:c>
      <x:c r="C32" t="str">
        <x:v>Seasonal Soup</x:v>
      </x:c>
      <x:c r="D32" t="str">
        <x:v>Starters &amp; Desserts</x:v>
      </x:c>
      <x:c r="E32" t="n">
        <x:v>475</x:v>
      </x:c>
      <x:c r="F32" t="n">
        <x:v>12</x:v>
      </x:c>
      <x:c r="G32" t="n">
        <x:f>E32*F32</x:f>
        <x:v>5700</x:v>
      </x:c>
      <x:c r="H32" t="n">
        <x:v>3</x:v>
      </x:c>
      <x:c r="I32" t="n">
        <x:f>F32-H32</x:f>
        <x:v>9</x:v>
      </x:c>
      <x:c r="J32" t="n">
        <x:f>E32*I32</x:f>
        <x:v>4275</x:v>
      </x:c>
    </x:row>
    <x:row r="33">
      <x:c r="A33" t="str">
        <x:v>2026-03</x:v>
      </x:c>
      <x:c r="B33" t="str">
        <x:v>F08</x:v>
      </x:c>
      <x:c r="C33" t="str">
        <x:v>Chocolate Tart</x:v>
      </x:c>
      <x:c r="D33" t="str">
        <x:v>Starters &amp; Desserts</x:v>
      </x:c>
      <x:c r="E33" t="n">
        <x:v>475</x:v>
      </x:c>
      <x:c r="F33" t="n">
        <x:v>14</x:v>
      </x:c>
      <x:c r="G33" t="n">
        <x:f>E33*F33</x:f>
        <x:v>6650</x:v>
      </x:c>
      <x:c r="H33" t="n">
        <x:v>4.6</x:v>
      </x:c>
      <x:c r="I33" t="n">
        <x:f>F33-H33</x:f>
        <x:v>9.4</x:v>
      </x:c>
      <x:c r="J33" t="n">
        <x:f>E33*I33</x:f>
        <x:v>4465</x:v>
      </x:c>
    </x:row>
    <x:row r="34">
      <x:c r="A34" t="str">
        <x:v>2026-03</x:v>
      </x:c>
      <x:c r="B34" t="str">
        <x:v>B01</x:v>
      </x:c>
      <x:c r="C34" t="str">
        <x:v>House Beer</x:v>
      </x:c>
      <x:c r="D34" t="str">
        <x:v>Beverages</x:v>
      </x:c>
      <x:c r="E34" t="n">
        <x:v>855</x:v>
      </x:c>
      <x:c r="F34" t="n">
        <x:v>8</x:v>
      </x:c>
      <x:c r="G34" t="n">
        <x:f>E34*F34</x:f>
        <x:v>6840</x:v>
      </x:c>
      <x:c r="H34" t="n">
        <x:v>1.8</x:v>
      </x:c>
      <x:c r="I34" t="n">
        <x:f>F34-H34</x:f>
        <x:v>6.2</x:v>
      </x:c>
      <x:c r="J34" t="n">
        <x:f>E34*I34</x:f>
        <x:v>5301</x:v>
      </x:c>
    </x:row>
    <x:row r="35">
      <x:c r="A35" t="str">
        <x:v>2026-03</x:v>
      </x:c>
      <x:c r="B35" t="str">
        <x:v>B02</x:v>
      </x:c>
      <x:c r="C35" t="str">
        <x:v>Local Wine</x:v>
      </x:c>
      <x:c r="D35" t="str">
        <x:v>Beverages</x:v>
      </x:c>
      <x:c r="E35" t="n">
        <x:v>475</x:v>
      </x:c>
      <x:c r="F35" t="n">
        <x:v>18</x:v>
      </x:c>
      <x:c r="G35" t="n">
        <x:f>E35*F35</x:f>
        <x:v>8550</x:v>
      </x:c>
      <x:c r="H35" t="n">
        <x:v>4.8</x:v>
      </x:c>
      <x:c r="I35" t="n">
        <x:f>F35-H35</x:f>
        <x:v>13.2</x:v>
      </x:c>
      <x:c r="J35" t="n">
        <x:f>E35*I35</x:f>
        <x:v>6270</x:v>
      </x:c>
    </x:row>
    <x:row r="36">
      <x:c r="A36" t="str">
        <x:v>2026-03</x:v>
      </x:c>
      <x:c r="B36" t="str">
        <x:v>B03</x:v>
      </x:c>
      <x:c r="C36" t="str">
        <x:v>Soft Drinks</x:v>
      </x:c>
      <x:c r="D36" t="str">
        <x:v>Beverages</x:v>
      </x:c>
      <x:c r="E36" t="n">
        <x:v>760</x:v>
      </x:c>
      <x:c r="F36" t="n">
        <x:v>5</x:v>
      </x:c>
      <x:c r="G36" t="n">
        <x:f>E36*F36</x:f>
        <x:v>3800</x:v>
      </x:c>
      <x:c r="H36" t="n">
        <x:v>0.9</x:v>
      </x:c>
      <x:c r="I36" t="n">
        <x:f>F36-H36</x:f>
        <x:v>4.1</x:v>
      </x:c>
      <x:c r="J36" t="n">
        <x:f>E36*I36</x:f>
        <x:v>3115.9999999999995</x:v>
      </x:c>
    </x:row>
    <x:row r="37">
      <x:c r="A37" t="str">
        <x:v>2026-03</x:v>
      </x:c>
      <x:c r="B37" t="str">
        <x:v>B04</x:v>
      </x:c>
      <x:c r="C37" t="str">
        <x:v>Cocktails</x:v>
      </x:c>
      <x:c r="D37" t="str">
        <x:v>Beverages</x:v>
      </x:c>
      <x:c r="E37" t="n">
        <x:v>380</x:v>
      </x:c>
      <x:c r="F37" t="n">
        <x:v>18</x:v>
      </x:c>
      <x:c r="G37" t="n">
        <x:f>E37*F37</x:f>
        <x:v>6840</x:v>
      </x:c>
      <x:c r="H37" t="n">
        <x:v>3.6</x:v>
      </x:c>
      <x:c r="I37" t="n">
        <x:f>F37-H37</x:f>
        <x:v>14.4</x:v>
      </x:c>
      <x:c r="J37" t="n">
        <x:f>E37*I37</x:f>
        <x:v>5472</x:v>
      </x:c>
    </x:row>
    <x:row r="38">
      <x:c r="A38" t="str">
        <x:v>2026-04</x:v>
      </x:c>
      <x:c r="B38" t="str">
        <x:v>F01</x:v>
      </x:c>
      <x:c r="C38" t="str">
        <x:v>Ribeye Steak</x:v>
      </x:c>
      <x:c r="D38" t="str">
        <x:v>Mains</x:v>
      </x:c>
      <x:c r="E38" t="n">
        <x:v>882</x:v>
      </x:c>
      <x:c r="F38" t="n">
        <x:v>45</x:v>
      </x:c>
      <x:c r="G38" t="n">
        <x:f>E38*F38</x:f>
        <x:v>39690</x:v>
      </x:c>
      <x:c r="H38" t="n">
        <x:v>17</x:v>
      </x:c>
      <x:c r="I38" t="n">
        <x:f>F38-H38</x:f>
        <x:v>28</x:v>
      </x:c>
      <x:c r="J38" t="n">
        <x:f>E38*I38</x:f>
        <x:v>24696</x:v>
      </x:c>
    </x:row>
    <x:row r="39">
      <x:c r="A39" t="str">
        <x:v>2026-04</x:v>
      </x:c>
      <x:c r="B39" t="str">
        <x:v>F02</x:v>
      </x:c>
      <x:c r="C39" t="str">
        <x:v>House Burger</x:v>
      </x:c>
      <x:c r="D39" t="str">
        <x:v>Mains</x:v>
      </x:c>
      <x:c r="E39" t="n">
        <x:v>1568</x:v>
      </x:c>
      <x:c r="F39" t="n">
        <x:v>22</x:v>
      </x:c>
      <x:c r="G39" t="n">
        <x:f>E39*F39</x:f>
        <x:v>34496</x:v>
      </x:c>
      <x:c r="H39" t="n">
        <x:v>7</x:v>
      </x:c>
      <x:c r="I39" t="n">
        <x:f>F39-H39</x:f>
        <x:v>15</x:v>
      </x:c>
      <x:c r="J39" t="n">
        <x:f>E39*I39</x:f>
        <x:v>23520</x:v>
      </x:c>
    </x:row>
    <x:row r="40">
      <x:c r="A40" t="str">
        <x:v>2026-04</x:v>
      </x:c>
      <x:c r="B40" t="str">
        <x:v>F03</x:v>
      </x:c>
      <x:c r="C40" t="str">
        <x:v>Club Sandwich</x:v>
      </x:c>
      <x:c r="D40" t="str">
        <x:v>Mains</x:v>
      </x:c>
      <x:c r="E40" t="n">
        <x:v>1470</x:v>
      </x:c>
      <x:c r="F40" t="n">
        <x:v>18</x:v>
      </x:c>
      <x:c r="G40" t="n">
        <x:f>E40*F40</x:f>
        <x:v>26460</x:v>
      </x:c>
      <x:c r="H40" t="n">
        <x:v>5.5</x:v>
      </x:c>
      <x:c r="I40" t="n">
        <x:f>F40-H40</x:f>
        <x:v>12.5</x:v>
      </x:c>
      <x:c r="J40" t="n">
        <x:f>E40*I40</x:f>
        <x:v>18375</x:v>
      </x:c>
    </x:row>
    <x:row r="41">
      <x:c r="A41" t="str">
        <x:v>2026-04</x:v>
      </x:c>
      <x:c r="B41" t="str">
        <x:v>F04</x:v>
      </x:c>
      <x:c r="C41" t="str">
        <x:v>Grilled Chicken</x:v>
      </x:c>
      <x:c r="D41" t="str">
        <x:v>Mains</x:v>
      </x:c>
      <x:c r="E41" t="n">
        <x:v>1372</x:v>
      </x:c>
      <x:c r="F41" t="n">
        <x:v>24</x:v>
      </x:c>
      <x:c r="G41" t="n">
        <x:f>E41*F41</x:f>
        <x:v>32928</x:v>
      </x:c>
      <x:c r="H41" t="n">
        <x:v>6.5</x:v>
      </x:c>
      <x:c r="I41" t="n">
        <x:f>F41-H41</x:f>
        <x:v>17.5</x:v>
      </x:c>
      <x:c r="J41" t="n">
        <x:f>E41*I41</x:f>
        <x:v>24010</x:v>
      </x:c>
    </x:row>
    <x:row r="42">
      <x:c r="A42" t="str">
        <x:v>2026-04</x:v>
      </x:c>
      <x:c r="B42" t="str">
        <x:v>F05</x:v>
      </x:c>
      <x:c r="C42" t="str">
        <x:v>Local Seafood Plate</x:v>
      </x:c>
      <x:c r="D42" t="str">
        <x:v>Mains</x:v>
      </x:c>
      <x:c r="E42" t="n">
        <x:v>686</x:v>
      </x:c>
      <x:c r="F42" t="n">
        <x:v>38</x:v>
      </x:c>
      <x:c r="G42" t="n">
        <x:f>E42*F42</x:f>
        <x:v>26068</x:v>
      </x:c>
      <x:c r="H42" t="n">
        <x:v>12.5</x:v>
      </x:c>
      <x:c r="I42" t="n">
        <x:f>F42-H42</x:f>
        <x:v>25.5</x:v>
      </x:c>
      <x:c r="J42" t="n">
        <x:f>E42*I42</x:f>
        <x:v>17493</x:v>
      </x:c>
    </x:row>
    <x:row r="43">
      <x:c r="A43" t="str">
        <x:v>2026-04</x:v>
      </x:c>
      <x:c r="B43" t="str">
        <x:v>F06</x:v>
      </x:c>
      <x:c r="C43" t="str">
        <x:v>Vegan Curry</x:v>
      </x:c>
      <x:c r="D43" t="str">
        <x:v>Mains</x:v>
      </x:c>
      <x:c r="E43" t="n">
        <x:v>784</x:v>
      </x:c>
      <x:c r="F43" t="n">
        <x:v>19</x:v>
      </x:c>
      <x:c r="G43" t="n">
        <x:f>E43*F43</x:f>
        <x:v>14896</x:v>
      </x:c>
      <x:c r="H43" t="n">
        <x:v>5</x:v>
      </x:c>
      <x:c r="I43" t="n">
        <x:f>F43-H43</x:f>
        <x:v>14</x:v>
      </x:c>
      <x:c r="J43" t="n">
        <x:f>E43*I43</x:f>
        <x:v>10976</x:v>
      </x:c>
    </x:row>
    <x:row r="44">
      <x:c r="A44" t="str">
        <x:v>2026-04</x:v>
      </x:c>
      <x:c r="B44" t="str">
        <x:v>F07</x:v>
      </x:c>
      <x:c r="C44" t="str">
        <x:v>Seasonal Soup</x:v>
      </x:c>
      <x:c r="D44" t="str">
        <x:v>Starters &amp; Desserts</x:v>
      </x:c>
      <x:c r="E44" t="n">
        <x:v>490</x:v>
      </x:c>
      <x:c r="F44" t="n">
        <x:v>12</x:v>
      </x:c>
      <x:c r="G44" t="n">
        <x:f>E44*F44</x:f>
        <x:v>5880</x:v>
      </x:c>
      <x:c r="H44" t="n">
        <x:v>3</x:v>
      </x:c>
      <x:c r="I44" t="n">
        <x:f>F44-H44</x:f>
        <x:v>9</x:v>
      </x:c>
      <x:c r="J44" t="n">
        <x:f>E44*I44</x:f>
        <x:v>4410</x:v>
      </x:c>
    </x:row>
    <x:row r="45">
      <x:c r="A45" t="str">
        <x:v>2026-04</x:v>
      </x:c>
      <x:c r="B45" t="str">
        <x:v>F08</x:v>
      </x:c>
      <x:c r="C45" t="str">
        <x:v>Chocolate Tart</x:v>
      </x:c>
      <x:c r="D45" t="str">
        <x:v>Starters &amp; Desserts</x:v>
      </x:c>
      <x:c r="E45" t="n">
        <x:v>490</x:v>
      </x:c>
      <x:c r="F45" t="n">
        <x:v>14</x:v>
      </x:c>
      <x:c r="G45" t="n">
        <x:f>E45*F45</x:f>
        <x:v>6860</x:v>
      </x:c>
      <x:c r="H45" t="n">
        <x:v>4.6</x:v>
      </x:c>
      <x:c r="I45" t="n">
        <x:f>F45-H45</x:f>
        <x:v>9.4</x:v>
      </x:c>
      <x:c r="J45" t="n">
        <x:f>E45*I45</x:f>
        <x:v>4606</x:v>
      </x:c>
    </x:row>
    <x:row r="46">
      <x:c r="A46" t="str">
        <x:v>2026-04</x:v>
      </x:c>
      <x:c r="B46" t="str">
        <x:v>B01</x:v>
      </x:c>
      <x:c r="C46" t="str">
        <x:v>House Beer</x:v>
      </x:c>
      <x:c r="D46" t="str">
        <x:v>Beverages</x:v>
      </x:c>
      <x:c r="E46" t="n">
        <x:v>882</x:v>
      </x:c>
      <x:c r="F46" t="n">
        <x:v>8</x:v>
      </x:c>
      <x:c r="G46" t="n">
        <x:f>E46*F46</x:f>
        <x:v>7056</x:v>
      </x:c>
      <x:c r="H46" t="n">
        <x:v>1.8</x:v>
      </x:c>
      <x:c r="I46" t="n">
        <x:f>F46-H46</x:f>
        <x:v>6.2</x:v>
      </x:c>
      <x:c r="J46" t="n">
        <x:f>E46*I46</x:f>
        <x:v>5468.400000000001</x:v>
      </x:c>
    </x:row>
    <x:row r="47">
      <x:c r="A47" t="str">
        <x:v>2026-04</x:v>
      </x:c>
      <x:c r="B47" t="str">
        <x:v>B02</x:v>
      </x:c>
      <x:c r="C47" t="str">
        <x:v>Local Wine</x:v>
      </x:c>
      <x:c r="D47" t="str">
        <x:v>Beverages</x:v>
      </x:c>
      <x:c r="E47" t="n">
        <x:v>490</x:v>
      </x:c>
      <x:c r="F47" t="n">
        <x:v>18</x:v>
      </x:c>
      <x:c r="G47" t="n">
        <x:f>E47*F47</x:f>
        <x:v>8820</x:v>
      </x:c>
      <x:c r="H47" t="n">
        <x:v>4.8</x:v>
      </x:c>
      <x:c r="I47" t="n">
        <x:f>F47-H47</x:f>
        <x:v>13.2</x:v>
      </x:c>
      <x:c r="J47" t="n">
        <x:f>E47*I47</x:f>
        <x:v>6468</x:v>
      </x:c>
    </x:row>
    <x:row r="48">
      <x:c r="A48" t="str">
        <x:v>2026-04</x:v>
      </x:c>
      <x:c r="B48" t="str">
        <x:v>B03</x:v>
      </x:c>
      <x:c r="C48" t="str">
        <x:v>Soft Drinks</x:v>
      </x:c>
      <x:c r="D48" t="str">
        <x:v>Beverages</x:v>
      </x:c>
      <x:c r="E48" t="n">
        <x:v>784</x:v>
      </x:c>
      <x:c r="F48" t="n">
        <x:v>5</x:v>
      </x:c>
      <x:c r="G48" t="n">
        <x:f>E48*F48</x:f>
        <x:v>3920</x:v>
      </x:c>
      <x:c r="H48" t="n">
        <x:v>0.9</x:v>
      </x:c>
      <x:c r="I48" t="n">
        <x:f>F48-H48</x:f>
        <x:v>4.1</x:v>
      </x:c>
      <x:c r="J48" t="n">
        <x:f>E48*I48</x:f>
        <x:v>3214.3999999999996</x:v>
      </x:c>
    </x:row>
    <x:row r="49">
      <x:c r="A49" t="str">
        <x:v>2026-04</x:v>
      </x:c>
      <x:c r="B49" t="str">
        <x:v>B04</x:v>
      </x:c>
      <x:c r="C49" t="str">
        <x:v>Cocktails</x:v>
      </x:c>
      <x:c r="D49" t="str">
        <x:v>Beverages</x:v>
      </x:c>
      <x:c r="E49" t="n">
        <x:v>392</x:v>
      </x:c>
      <x:c r="F49" t="n">
        <x:v>18</x:v>
      </x:c>
      <x:c r="G49" t="n">
        <x:f>E49*F49</x:f>
        <x:v>7056</x:v>
      </x:c>
      <x:c r="H49" t="n">
        <x:v>3.6</x:v>
      </x:c>
      <x:c r="I49" t="n">
        <x:f>F49-H49</x:f>
        <x:v>14.4</x:v>
      </x:c>
      <x:c r="J49" t="n">
        <x:f>E49*I49</x:f>
        <x:v>5644.8</x:v>
      </x:c>
    </x:row>
    <x:row r="50">
      <x:c r="A50" t="str">
        <x:v>2026-05</x:v>
      </x:c>
      <x:c r="B50" t="str">
        <x:v>F01</x:v>
      </x:c>
      <x:c r="C50" t="str">
        <x:v>Ribeye Steak</x:v>
      </x:c>
      <x:c r="D50" t="str">
        <x:v>Mains</x:v>
      </x:c>
      <x:c r="E50" t="n">
        <x:v>909</x:v>
      </x:c>
      <x:c r="F50" t="n">
        <x:v>45</x:v>
      </x:c>
      <x:c r="G50" t="n">
        <x:f>E50*F50</x:f>
        <x:v>40905</x:v>
      </x:c>
      <x:c r="H50" t="n">
        <x:v>17</x:v>
      </x:c>
      <x:c r="I50" t="n">
        <x:f>F50-H50</x:f>
        <x:v>28</x:v>
      </x:c>
      <x:c r="J50" t="n">
        <x:f>E50*I50</x:f>
        <x:v>25452</x:v>
      </x:c>
    </x:row>
    <x:row r="51">
      <x:c r="A51" t="str">
        <x:v>2026-05</x:v>
      </x:c>
      <x:c r="B51" t="str">
        <x:v>F02</x:v>
      </x:c>
      <x:c r="C51" t="str">
        <x:v>House Burger</x:v>
      </x:c>
      <x:c r="D51" t="str">
        <x:v>Mains</x:v>
      </x:c>
      <x:c r="E51" t="n">
        <x:v>1616</x:v>
      </x:c>
      <x:c r="F51" t="n">
        <x:v>22</x:v>
      </x:c>
      <x:c r="G51" t="n">
        <x:f>E51*F51</x:f>
        <x:v>35552</x:v>
      </x:c>
      <x:c r="H51" t="n">
        <x:v>7</x:v>
      </x:c>
      <x:c r="I51" t="n">
        <x:f>F51-H51</x:f>
        <x:v>15</x:v>
      </x:c>
      <x:c r="J51" t="n">
        <x:f>E51*I51</x:f>
        <x:v>24240</x:v>
      </x:c>
    </x:row>
    <x:row r="52">
      <x:c r="A52" t="str">
        <x:v>2026-05</x:v>
      </x:c>
      <x:c r="B52" t="str">
        <x:v>F03</x:v>
      </x:c>
      <x:c r="C52" t="str">
        <x:v>Club Sandwich</x:v>
      </x:c>
      <x:c r="D52" t="str">
        <x:v>Mains</x:v>
      </x:c>
      <x:c r="E52" t="n">
        <x:v>1515</x:v>
      </x:c>
      <x:c r="F52" t="n">
        <x:v>18</x:v>
      </x:c>
      <x:c r="G52" t="n">
        <x:f>E52*F52</x:f>
        <x:v>27270</x:v>
      </x:c>
      <x:c r="H52" t="n">
        <x:v>5.5</x:v>
      </x:c>
      <x:c r="I52" t="n">
        <x:f>F52-H52</x:f>
        <x:v>12.5</x:v>
      </x:c>
      <x:c r="J52" t="n">
        <x:f>E52*I52</x:f>
        <x:v>18937.5</x:v>
      </x:c>
    </x:row>
    <x:row r="53">
      <x:c r="A53" t="str">
        <x:v>2026-05</x:v>
      </x:c>
      <x:c r="B53" t="str">
        <x:v>F04</x:v>
      </x:c>
      <x:c r="C53" t="str">
        <x:v>Grilled Chicken</x:v>
      </x:c>
      <x:c r="D53" t="str">
        <x:v>Mains</x:v>
      </x:c>
      <x:c r="E53" t="n">
        <x:v>1414</x:v>
      </x:c>
      <x:c r="F53" t="n">
        <x:v>24</x:v>
      </x:c>
      <x:c r="G53" t="n">
        <x:f>E53*F53</x:f>
        <x:v>33936</x:v>
      </x:c>
      <x:c r="H53" t="n">
        <x:v>6.5</x:v>
      </x:c>
      <x:c r="I53" t="n">
        <x:f>F53-H53</x:f>
        <x:v>17.5</x:v>
      </x:c>
      <x:c r="J53" t="n">
        <x:f>E53*I53</x:f>
        <x:v>24745</x:v>
      </x:c>
    </x:row>
    <x:row r="54">
      <x:c r="A54" t="str">
        <x:v>2026-05</x:v>
      </x:c>
      <x:c r="B54" t="str">
        <x:v>F05</x:v>
      </x:c>
      <x:c r="C54" t="str">
        <x:v>Local Seafood Plate</x:v>
      </x:c>
      <x:c r="D54" t="str">
        <x:v>Mains</x:v>
      </x:c>
      <x:c r="E54" t="n">
        <x:v>707</x:v>
      </x:c>
      <x:c r="F54" t="n">
        <x:v>38</x:v>
      </x:c>
      <x:c r="G54" t="n">
        <x:f>E54*F54</x:f>
        <x:v>26866</x:v>
      </x:c>
      <x:c r="H54" t="n">
        <x:v>12.5</x:v>
      </x:c>
      <x:c r="I54" t="n">
        <x:f>F54-H54</x:f>
        <x:v>25.5</x:v>
      </x:c>
      <x:c r="J54" t="n">
        <x:f>E54*I54</x:f>
        <x:v>18028.5</x:v>
      </x:c>
    </x:row>
    <x:row r="55">
      <x:c r="A55" t="str">
        <x:v>2026-05</x:v>
      </x:c>
      <x:c r="B55" t="str">
        <x:v>F06</x:v>
      </x:c>
      <x:c r="C55" t="str">
        <x:v>Vegan Curry</x:v>
      </x:c>
      <x:c r="D55" t="str">
        <x:v>Mains</x:v>
      </x:c>
      <x:c r="E55" t="n">
        <x:v>808</x:v>
      </x:c>
      <x:c r="F55" t="n">
        <x:v>19</x:v>
      </x:c>
      <x:c r="G55" t="n">
        <x:f>E55*F55</x:f>
        <x:v>15352</x:v>
      </x:c>
      <x:c r="H55" t="n">
        <x:v>5</x:v>
      </x:c>
      <x:c r="I55" t="n">
        <x:f>F55-H55</x:f>
        <x:v>14</x:v>
      </x:c>
      <x:c r="J55" t="n">
        <x:f>E55*I55</x:f>
        <x:v>11312</x:v>
      </x:c>
    </x:row>
    <x:row r="56">
      <x:c r="A56" t="str">
        <x:v>2026-05</x:v>
      </x:c>
      <x:c r="B56" t="str">
        <x:v>F07</x:v>
      </x:c>
      <x:c r="C56" t="str">
        <x:v>Seasonal Soup</x:v>
      </x:c>
      <x:c r="D56" t="str">
        <x:v>Starters &amp; Desserts</x:v>
      </x:c>
      <x:c r="E56" t="n">
        <x:v>505</x:v>
      </x:c>
      <x:c r="F56" t="n">
        <x:v>12</x:v>
      </x:c>
      <x:c r="G56" t="n">
        <x:f>E56*F56</x:f>
        <x:v>6060</x:v>
      </x:c>
      <x:c r="H56" t="n">
        <x:v>3</x:v>
      </x:c>
      <x:c r="I56" t="n">
        <x:f>F56-H56</x:f>
        <x:v>9</x:v>
      </x:c>
      <x:c r="J56" t="n">
        <x:f>E56*I56</x:f>
        <x:v>4545</x:v>
      </x:c>
    </x:row>
    <x:row r="57">
      <x:c r="A57" t="str">
        <x:v>2026-05</x:v>
      </x:c>
      <x:c r="B57" t="str">
        <x:v>F08</x:v>
      </x:c>
      <x:c r="C57" t="str">
        <x:v>Chocolate Tart</x:v>
      </x:c>
      <x:c r="D57" t="str">
        <x:v>Starters &amp; Desserts</x:v>
      </x:c>
      <x:c r="E57" t="n">
        <x:v>505</x:v>
      </x:c>
      <x:c r="F57" t="n">
        <x:v>14</x:v>
      </x:c>
      <x:c r="G57" t="n">
        <x:f>E57*F57</x:f>
        <x:v>7070</x:v>
      </x:c>
      <x:c r="H57" t="n">
        <x:v>4.6</x:v>
      </x:c>
      <x:c r="I57" t="n">
        <x:f>F57-H57</x:f>
        <x:v>9.4</x:v>
      </x:c>
      <x:c r="J57" t="n">
        <x:f>E57*I57</x:f>
        <x:v>4747</x:v>
      </x:c>
    </x:row>
    <x:row r="58">
      <x:c r="A58" t="str">
        <x:v>2026-05</x:v>
      </x:c>
      <x:c r="B58" t="str">
        <x:v>B01</x:v>
      </x:c>
      <x:c r="C58" t="str">
        <x:v>House Beer</x:v>
      </x:c>
      <x:c r="D58" t="str">
        <x:v>Beverages</x:v>
      </x:c>
      <x:c r="E58" t="n">
        <x:v>909</x:v>
      </x:c>
      <x:c r="F58" t="n">
        <x:v>8</x:v>
      </x:c>
      <x:c r="G58" t="n">
        <x:f>E58*F58</x:f>
        <x:v>7272</x:v>
      </x:c>
      <x:c r="H58" t="n">
        <x:v>1.8</x:v>
      </x:c>
      <x:c r="I58" t="n">
        <x:f>F58-H58</x:f>
        <x:v>6.2</x:v>
      </x:c>
      <x:c r="J58" t="n">
        <x:f>E58*I58</x:f>
        <x:v>5635.8</x:v>
      </x:c>
    </x:row>
    <x:row r="59">
      <x:c r="A59" t="str">
        <x:v>2026-05</x:v>
      </x:c>
      <x:c r="B59" t="str">
        <x:v>B02</x:v>
      </x:c>
      <x:c r="C59" t="str">
        <x:v>Local Wine</x:v>
      </x:c>
      <x:c r="D59" t="str">
        <x:v>Beverages</x:v>
      </x:c>
      <x:c r="E59" t="n">
        <x:v>505</x:v>
      </x:c>
      <x:c r="F59" t="n">
        <x:v>18</x:v>
      </x:c>
      <x:c r="G59" t="n">
        <x:f>E59*F59</x:f>
        <x:v>9090</x:v>
      </x:c>
      <x:c r="H59" t="n">
        <x:v>4.8</x:v>
      </x:c>
      <x:c r="I59" t="n">
        <x:f>F59-H59</x:f>
        <x:v>13.2</x:v>
      </x:c>
      <x:c r="J59" t="n">
        <x:f>E59*I59</x:f>
        <x:v>6666</x:v>
      </x:c>
    </x:row>
    <x:row r="60">
      <x:c r="A60" t="str">
        <x:v>2026-05</x:v>
      </x:c>
      <x:c r="B60" t="str">
        <x:v>B03</x:v>
      </x:c>
      <x:c r="C60" t="str">
        <x:v>Soft Drinks</x:v>
      </x:c>
      <x:c r="D60" t="str">
        <x:v>Beverages</x:v>
      </x:c>
      <x:c r="E60" t="n">
        <x:v>808</x:v>
      </x:c>
      <x:c r="F60" t="n">
        <x:v>5</x:v>
      </x:c>
      <x:c r="G60" t="n">
        <x:f>E60*F60</x:f>
        <x:v>4040</x:v>
      </x:c>
      <x:c r="H60" t="n">
        <x:v>0.9</x:v>
      </x:c>
      <x:c r="I60" t="n">
        <x:f>F60-H60</x:f>
        <x:v>4.1</x:v>
      </x:c>
      <x:c r="J60" t="n">
        <x:f>E60*I60</x:f>
        <x:v>3312.7999999999997</x:v>
      </x:c>
    </x:row>
    <x:row r="61">
      <x:c r="A61" t="str">
        <x:v>2026-05</x:v>
      </x:c>
      <x:c r="B61" t="str">
        <x:v>B04</x:v>
      </x:c>
      <x:c r="C61" t="str">
        <x:v>Cocktails</x:v>
      </x:c>
      <x:c r="D61" t="str">
        <x:v>Beverages</x:v>
      </x:c>
      <x:c r="E61" t="n">
        <x:v>404</x:v>
      </x:c>
      <x:c r="F61" t="n">
        <x:v>18</x:v>
      </x:c>
      <x:c r="G61" t="n">
        <x:f>E61*F61</x:f>
        <x:v>7272</x:v>
      </x:c>
      <x:c r="H61" t="n">
        <x:v>3.6</x:v>
      </x:c>
      <x:c r="I61" t="n">
        <x:f>F61-H61</x:f>
        <x:v>14.4</x:v>
      </x:c>
      <x:c r="J61" t="n">
        <x:f>E61*I61</x:f>
        <x:v>5817.6</x:v>
      </x:c>
    </x:row>
    <x:row r="62">
      <x:c r="A62" t="str">
        <x:v>2026-06</x:v>
      </x:c>
      <x:c r="B62" t="str">
        <x:v>F01</x:v>
      </x:c>
      <x:c r="C62" t="str">
        <x:v>Ribeye Steak</x:v>
      </x:c>
      <x:c r="D62" t="str">
        <x:v>Mains</x:v>
      </x:c>
      <x:c r="E62" t="n">
        <x:v>900</x:v>
      </x:c>
      <x:c r="F62" t="n">
        <x:v>45</x:v>
      </x:c>
      <x:c r="G62" t="n">
        <x:f>E62*F62</x:f>
        <x:v>40500</x:v>
      </x:c>
      <x:c r="H62" t="n">
        <x:v>17</x:v>
      </x:c>
      <x:c r="I62" t="n">
        <x:f>F62-H62</x:f>
        <x:v>28</x:v>
      </x:c>
      <x:c r="J62" t="n">
        <x:f>E62*I62</x:f>
        <x:v>25200</x:v>
      </x:c>
    </x:row>
    <x:row r="63">
      <x:c r="A63" t="str">
        <x:v>2026-06</x:v>
      </x:c>
      <x:c r="B63" t="str">
        <x:v>F02</x:v>
      </x:c>
      <x:c r="C63" t="str">
        <x:v>House Burger</x:v>
      </x:c>
      <x:c r="D63" t="str">
        <x:v>Mains</x:v>
      </x:c>
      <x:c r="E63" t="n">
        <x:v>1600</x:v>
      </x:c>
      <x:c r="F63" t="n">
        <x:v>22</x:v>
      </x:c>
      <x:c r="G63" t="n">
        <x:f>E63*F63</x:f>
        <x:v>35200</x:v>
      </x:c>
      <x:c r="H63" t="n">
        <x:v>7</x:v>
      </x:c>
      <x:c r="I63" t="n">
        <x:f>F63-H63</x:f>
        <x:v>15</x:v>
      </x:c>
      <x:c r="J63" t="n">
        <x:f>E63*I63</x:f>
        <x:v>24000</x:v>
      </x:c>
    </x:row>
    <x:row r="64">
      <x:c r="A64" t="str">
        <x:v>2026-06</x:v>
      </x:c>
      <x:c r="B64" t="str">
        <x:v>F03</x:v>
      </x:c>
      <x:c r="C64" t="str">
        <x:v>Club Sandwich</x:v>
      </x:c>
      <x:c r="D64" t="str">
        <x:v>Mains</x:v>
      </x:c>
      <x:c r="E64" t="n">
        <x:v>1500</x:v>
      </x:c>
      <x:c r="F64" t="n">
        <x:v>18</x:v>
      </x:c>
      <x:c r="G64" t="n">
        <x:f>E64*F64</x:f>
        <x:v>27000</x:v>
      </x:c>
      <x:c r="H64" t="n">
        <x:v>5.5</x:v>
      </x:c>
      <x:c r="I64" t="n">
        <x:f>F64-H64</x:f>
        <x:v>12.5</x:v>
      </x:c>
      <x:c r="J64" t="n">
        <x:f>E64*I64</x:f>
        <x:v>18750</x:v>
      </x:c>
    </x:row>
    <x:row r="65">
      <x:c r="A65" t="str">
        <x:v>2026-06</x:v>
      </x:c>
      <x:c r="B65" t="str">
        <x:v>F04</x:v>
      </x:c>
      <x:c r="C65" t="str">
        <x:v>Grilled Chicken</x:v>
      </x:c>
      <x:c r="D65" t="str">
        <x:v>Mains</x:v>
      </x:c>
      <x:c r="E65" t="n">
        <x:v>1400</x:v>
      </x:c>
      <x:c r="F65" t="n">
        <x:v>24</x:v>
      </x:c>
      <x:c r="G65" t="n">
        <x:f>E65*F65</x:f>
        <x:v>33600</x:v>
      </x:c>
      <x:c r="H65" t="n">
        <x:v>6.5</x:v>
      </x:c>
      <x:c r="I65" t="n">
        <x:f>F65-H65</x:f>
        <x:v>17.5</x:v>
      </x:c>
      <x:c r="J65" t="n">
        <x:f>E65*I65</x:f>
        <x:v>24500</x:v>
      </x:c>
    </x:row>
    <x:row r="66">
      <x:c r="A66" t="str">
        <x:v>2026-06</x:v>
      </x:c>
      <x:c r="B66" t="str">
        <x:v>F05</x:v>
      </x:c>
      <x:c r="C66" t="str">
        <x:v>Local Seafood Plate</x:v>
      </x:c>
      <x:c r="D66" t="str">
        <x:v>Mains</x:v>
      </x:c>
      <x:c r="E66" t="n">
        <x:v>700</x:v>
      </x:c>
      <x:c r="F66" t="n">
        <x:v>38</x:v>
      </x:c>
      <x:c r="G66" t="n">
        <x:f>E66*F66</x:f>
        <x:v>26600</x:v>
      </x:c>
      <x:c r="H66" t="n">
        <x:v>12.5</x:v>
      </x:c>
      <x:c r="I66" t="n">
        <x:f>F66-H66</x:f>
        <x:v>25.5</x:v>
      </x:c>
      <x:c r="J66" t="n">
        <x:f>E66*I66</x:f>
        <x:v>17850</x:v>
      </x:c>
    </x:row>
    <x:row r="67">
      <x:c r="A67" t="str">
        <x:v>2026-06</x:v>
      </x:c>
      <x:c r="B67" t="str">
        <x:v>F06</x:v>
      </x:c>
      <x:c r="C67" t="str">
        <x:v>Vegan Curry</x:v>
      </x:c>
      <x:c r="D67" t="str">
        <x:v>Mains</x:v>
      </x:c>
      <x:c r="E67" t="n">
        <x:v>800</x:v>
      </x:c>
      <x:c r="F67" t="n">
        <x:v>19</x:v>
      </x:c>
      <x:c r="G67" t="n">
        <x:f>E67*F67</x:f>
        <x:v>15200</x:v>
      </x:c>
      <x:c r="H67" t="n">
        <x:v>5</x:v>
      </x:c>
      <x:c r="I67" t="n">
        <x:f>F67-H67</x:f>
        <x:v>14</x:v>
      </x:c>
      <x:c r="J67" t="n">
        <x:f>E67*I67</x:f>
        <x:v>11200</x:v>
      </x:c>
    </x:row>
    <x:row r="68">
      <x:c r="A68" t="str">
        <x:v>2026-06</x:v>
      </x:c>
      <x:c r="B68" t="str">
        <x:v>F07</x:v>
      </x:c>
      <x:c r="C68" t="str">
        <x:v>Seasonal Soup</x:v>
      </x:c>
      <x:c r="D68" t="str">
        <x:v>Starters &amp; Desserts</x:v>
      </x:c>
      <x:c r="E68" t="n">
        <x:v>500</x:v>
      </x:c>
      <x:c r="F68" t="n">
        <x:v>12</x:v>
      </x:c>
      <x:c r="G68" t="n">
        <x:f>E68*F68</x:f>
        <x:v>6000</x:v>
      </x:c>
      <x:c r="H68" t="n">
        <x:v>3</x:v>
      </x:c>
      <x:c r="I68" t="n">
        <x:f>F68-H68</x:f>
        <x:v>9</x:v>
      </x:c>
      <x:c r="J68" t="n">
        <x:f>E68*I68</x:f>
        <x:v>4500</x:v>
      </x:c>
    </x:row>
    <x:row r="69">
      <x:c r="A69" t="str">
        <x:v>2026-06</x:v>
      </x:c>
      <x:c r="B69" t="str">
        <x:v>F08</x:v>
      </x:c>
      <x:c r="C69" t="str">
        <x:v>Chocolate Tart</x:v>
      </x:c>
      <x:c r="D69" t="str">
        <x:v>Starters &amp; Desserts</x:v>
      </x:c>
      <x:c r="E69" t="n">
        <x:v>500</x:v>
      </x:c>
      <x:c r="F69" t="n">
        <x:v>14</x:v>
      </x:c>
      <x:c r="G69" t="n">
        <x:f>E69*F69</x:f>
        <x:v>7000</x:v>
      </x:c>
      <x:c r="H69" t="n">
        <x:v>4.6</x:v>
      </x:c>
      <x:c r="I69" t="n">
        <x:f>F69-H69</x:f>
        <x:v>9.4</x:v>
      </x:c>
      <x:c r="J69" t="n">
        <x:f>E69*I69</x:f>
        <x:v>4700</x:v>
      </x:c>
    </x:row>
    <x:row r="70">
      <x:c r="A70" t="str">
        <x:v>2026-06</x:v>
      </x:c>
      <x:c r="B70" t="str">
        <x:v>B01</x:v>
      </x:c>
      <x:c r="C70" t="str">
        <x:v>House Beer</x:v>
      </x:c>
      <x:c r="D70" t="str">
        <x:v>Beverages</x:v>
      </x:c>
      <x:c r="E70" t="n">
        <x:v>900</x:v>
      </x:c>
      <x:c r="F70" t="n">
        <x:v>8</x:v>
      </x:c>
      <x:c r="G70" t="n">
        <x:f>E70*F70</x:f>
        <x:v>7200</x:v>
      </x:c>
      <x:c r="H70" t="n">
        <x:v>1.8</x:v>
      </x:c>
      <x:c r="I70" t="n">
        <x:f>F70-H70</x:f>
        <x:v>6.2</x:v>
      </x:c>
      <x:c r="J70" t="n">
        <x:f>E70*I70</x:f>
        <x:v>5580</x:v>
      </x:c>
    </x:row>
    <x:row r="71">
      <x:c r="A71" t="str">
        <x:v>2026-06</x:v>
      </x:c>
      <x:c r="B71" t="str">
        <x:v>B02</x:v>
      </x:c>
      <x:c r="C71" t="str">
        <x:v>Local Wine</x:v>
      </x:c>
      <x:c r="D71" t="str">
        <x:v>Beverages</x:v>
      </x:c>
      <x:c r="E71" t="n">
        <x:v>500</x:v>
      </x:c>
      <x:c r="F71" t="n">
        <x:v>18</x:v>
      </x:c>
      <x:c r="G71" t="n">
        <x:f>E71*F71</x:f>
        <x:v>9000</x:v>
      </x:c>
      <x:c r="H71" t="n">
        <x:v>4.8</x:v>
      </x:c>
      <x:c r="I71" t="n">
        <x:f>F71-H71</x:f>
        <x:v>13.2</x:v>
      </x:c>
      <x:c r="J71" t="n">
        <x:f>E71*I71</x:f>
        <x:v>6600</x:v>
      </x:c>
    </x:row>
    <x:row r="72">
      <x:c r="A72" t="str">
        <x:v>2026-06</x:v>
      </x:c>
      <x:c r="B72" t="str">
        <x:v>B03</x:v>
      </x:c>
      <x:c r="C72" t="str">
        <x:v>Soft Drinks</x:v>
      </x:c>
      <x:c r="D72" t="str">
        <x:v>Beverages</x:v>
      </x:c>
      <x:c r="E72" t="n">
        <x:v>800</x:v>
      </x:c>
      <x:c r="F72" t="n">
        <x:v>5</x:v>
      </x:c>
      <x:c r="G72" t="n">
        <x:f>E72*F72</x:f>
        <x:v>4000</x:v>
      </x:c>
      <x:c r="H72" t="n">
        <x:v>0.9</x:v>
      </x:c>
      <x:c r="I72" t="n">
        <x:f>F72-H72</x:f>
        <x:v>4.1</x:v>
      </x:c>
      <x:c r="J72" t="n">
        <x:f>E72*I72</x:f>
        <x:v>3279.9999999999995</x:v>
      </x:c>
    </x:row>
    <x:row r="73">
      <x:c r="A73" t="str">
        <x:v>2026-06</x:v>
      </x:c>
      <x:c r="B73" t="str">
        <x:v>B04</x:v>
      </x:c>
      <x:c r="C73" t="str">
        <x:v>Cocktails</x:v>
      </x:c>
      <x:c r="D73" t="str">
        <x:v>Beverages</x:v>
      </x:c>
      <x:c r="E73" t="n">
        <x:v>400</x:v>
      </x:c>
      <x:c r="F73" t="n">
        <x:v>18</x:v>
      </x:c>
      <x:c r="G73" t="n">
        <x:f>E73*F73</x:f>
        <x:v>7200</x:v>
      </x:c>
      <x:c r="H73" t="n">
        <x:v>3.6</x:v>
      </x:c>
      <x:c r="I73" t="n">
        <x:f>F73-H73</x:f>
        <x:v>14.4</x:v>
      </x:c>
      <x:c r="J73" t="n">
        <x:f>E73*I73</x:f>
        <x:v>5760</x:v>
      </x:c>
    </x:row>
    <x:row r="74">
      <x:c r="A74" t="str">
        <x:v>2026-07</x:v>
      </x:c>
      <x:c r="B74" t="str">
        <x:v>F01</x:v>
      </x:c>
      <x:c r="C74" t="str">
        <x:v>Ribeye Steak</x:v>
      </x:c>
      <x:c r="D74" t="str">
        <x:v>Mains</x:v>
      </x:c>
      <x:c r="E74" t="n">
        <x:v>900</x:v>
      </x:c>
      <x:c r="F74" t="n">
        <x:v>45</x:v>
      </x:c>
      <x:c r="G74" t="n">
        <x:f>E74*F74</x:f>
        <x:v>40500</x:v>
      </x:c>
      <x:c r="H74" t="n">
        <x:v>17</x:v>
      </x:c>
      <x:c r="I74" t="n">
        <x:f>F74-H74</x:f>
        <x:v>28</x:v>
      </x:c>
      <x:c r="J74" t="n">
        <x:f>E74*I74</x:f>
        <x:v>25200</x:v>
      </x:c>
    </x:row>
    <x:row r="75">
      <x:c r="A75" t="str">
        <x:v>2026-07</x:v>
      </x:c>
      <x:c r="B75" t="str">
        <x:v>F02</x:v>
      </x:c>
      <x:c r="C75" t="str">
        <x:v>House Burger</x:v>
      </x:c>
      <x:c r="D75" t="str">
        <x:v>Mains</x:v>
      </x:c>
      <x:c r="E75" t="n">
        <x:v>1600</x:v>
      </x:c>
      <x:c r="F75" t="n">
        <x:v>22</x:v>
      </x:c>
      <x:c r="G75" t="n">
        <x:f>E75*F75</x:f>
        <x:v>35200</x:v>
      </x:c>
      <x:c r="H75" t="n">
        <x:v>7</x:v>
      </x:c>
      <x:c r="I75" t="n">
        <x:f>F75-H75</x:f>
        <x:v>15</x:v>
      </x:c>
      <x:c r="J75" t="n">
        <x:f>E75*I75</x:f>
        <x:v>24000</x:v>
      </x:c>
    </x:row>
    <x:row r="76">
      <x:c r="A76" t="str">
        <x:v>2026-07</x:v>
      </x:c>
      <x:c r="B76" t="str">
        <x:v>F03</x:v>
      </x:c>
      <x:c r="C76" t="str">
        <x:v>Club Sandwich</x:v>
      </x:c>
      <x:c r="D76" t="str">
        <x:v>Mains</x:v>
      </x:c>
      <x:c r="E76" t="n">
        <x:v>1500</x:v>
      </x:c>
      <x:c r="F76" t="n">
        <x:v>18</x:v>
      </x:c>
      <x:c r="G76" t="n">
        <x:f>E76*F76</x:f>
        <x:v>27000</x:v>
      </x:c>
      <x:c r="H76" t="n">
        <x:v>5.5</x:v>
      </x:c>
      <x:c r="I76" t="n">
        <x:f>F76-H76</x:f>
        <x:v>12.5</x:v>
      </x:c>
      <x:c r="J76" t="n">
        <x:f>E76*I76</x:f>
        <x:v>18750</x:v>
      </x:c>
    </x:row>
    <x:row r="77">
      <x:c r="A77" t="str">
        <x:v>2026-07</x:v>
      </x:c>
      <x:c r="B77" t="str">
        <x:v>F04</x:v>
      </x:c>
      <x:c r="C77" t="str">
        <x:v>Grilled Chicken</x:v>
      </x:c>
      <x:c r="D77" t="str">
        <x:v>Mains</x:v>
      </x:c>
      <x:c r="E77" t="n">
        <x:v>1400</x:v>
      </x:c>
      <x:c r="F77" t="n">
        <x:v>24</x:v>
      </x:c>
      <x:c r="G77" t="n">
        <x:f>E77*F77</x:f>
        <x:v>33600</x:v>
      </x:c>
      <x:c r="H77" t="n">
        <x:v>6.5</x:v>
      </x:c>
      <x:c r="I77" t="n">
        <x:f>F77-H77</x:f>
        <x:v>17.5</x:v>
      </x:c>
      <x:c r="J77" t="n">
        <x:f>E77*I77</x:f>
        <x:v>24500</x:v>
      </x:c>
    </x:row>
    <x:row r="78">
      <x:c r="A78" t="str">
        <x:v>2026-07</x:v>
      </x:c>
      <x:c r="B78" t="str">
        <x:v>F05</x:v>
      </x:c>
      <x:c r="C78" t="str">
        <x:v>Local Seafood Plate</x:v>
      </x:c>
      <x:c r="D78" t="str">
        <x:v>Mains</x:v>
      </x:c>
      <x:c r="E78" t="n">
        <x:v>700</x:v>
      </x:c>
      <x:c r="F78" t="n">
        <x:v>38</x:v>
      </x:c>
      <x:c r="G78" t="n">
        <x:f>E78*F78</x:f>
        <x:v>26600</x:v>
      </x:c>
      <x:c r="H78" t="n">
        <x:v>12.5</x:v>
      </x:c>
      <x:c r="I78" t="n">
        <x:f>F78-H78</x:f>
        <x:v>25.5</x:v>
      </x:c>
      <x:c r="J78" t="n">
        <x:f>E78*I78</x:f>
        <x:v>17850</x:v>
      </x:c>
    </x:row>
    <x:row r="79">
      <x:c r="A79" t="str">
        <x:v>2026-07</x:v>
      </x:c>
      <x:c r="B79" t="str">
        <x:v>F06</x:v>
      </x:c>
      <x:c r="C79" t="str">
        <x:v>Vegan Curry</x:v>
      </x:c>
      <x:c r="D79" t="str">
        <x:v>Mains</x:v>
      </x:c>
      <x:c r="E79" t="n">
        <x:v>800</x:v>
      </x:c>
      <x:c r="F79" t="n">
        <x:v>19</x:v>
      </x:c>
      <x:c r="G79" t="n">
        <x:f>E79*F79</x:f>
        <x:v>15200</x:v>
      </x:c>
      <x:c r="H79" t="n">
        <x:v>5</x:v>
      </x:c>
      <x:c r="I79" t="n">
        <x:f>F79-H79</x:f>
        <x:v>14</x:v>
      </x:c>
      <x:c r="J79" t="n">
        <x:f>E79*I79</x:f>
        <x:v>11200</x:v>
      </x:c>
    </x:row>
    <x:row r="80">
      <x:c r="A80" t="str">
        <x:v>2026-07</x:v>
      </x:c>
      <x:c r="B80" t="str">
        <x:v>F07</x:v>
      </x:c>
      <x:c r="C80" t="str">
        <x:v>Seasonal Soup</x:v>
      </x:c>
      <x:c r="D80" t="str">
        <x:v>Starters &amp; Desserts</x:v>
      </x:c>
      <x:c r="E80" t="n">
        <x:v>500</x:v>
      </x:c>
      <x:c r="F80" t="n">
        <x:v>12</x:v>
      </x:c>
      <x:c r="G80" t="n">
        <x:f>E80*F80</x:f>
        <x:v>6000</x:v>
      </x:c>
      <x:c r="H80" t="n">
        <x:v>3</x:v>
      </x:c>
      <x:c r="I80" t="n">
        <x:f>F80-H80</x:f>
        <x:v>9</x:v>
      </x:c>
      <x:c r="J80" t="n">
        <x:f>E80*I80</x:f>
        <x:v>4500</x:v>
      </x:c>
    </x:row>
    <x:row r="81">
      <x:c r="A81" t="str">
        <x:v>2026-07</x:v>
      </x:c>
      <x:c r="B81" t="str">
        <x:v>F08</x:v>
      </x:c>
      <x:c r="C81" t="str">
        <x:v>Chocolate Tart</x:v>
      </x:c>
      <x:c r="D81" t="str">
        <x:v>Starters &amp; Desserts</x:v>
      </x:c>
      <x:c r="E81" t="n">
        <x:v>500</x:v>
      </x:c>
      <x:c r="F81" t="n">
        <x:v>14</x:v>
      </x:c>
      <x:c r="G81" t="n">
        <x:f>E81*F81</x:f>
        <x:v>7000</x:v>
      </x:c>
      <x:c r="H81" t="n">
        <x:v>4.6</x:v>
      </x:c>
      <x:c r="I81" t="n">
        <x:f>F81-H81</x:f>
        <x:v>9.4</x:v>
      </x:c>
      <x:c r="J81" t="n">
        <x:f>E81*I81</x:f>
        <x:v>4700</x:v>
      </x:c>
    </x:row>
    <x:row r="82">
      <x:c r="A82" t="str">
        <x:v>2026-07</x:v>
      </x:c>
      <x:c r="B82" t="str">
        <x:v>B01</x:v>
      </x:c>
      <x:c r="C82" t="str">
        <x:v>House Beer</x:v>
      </x:c>
      <x:c r="D82" t="str">
        <x:v>Beverages</x:v>
      </x:c>
      <x:c r="E82" t="n">
        <x:v>900</x:v>
      </x:c>
      <x:c r="F82" t="n">
        <x:v>8</x:v>
      </x:c>
      <x:c r="G82" t="n">
        <x:f>E82*F82</x:f>
        <x:v>7200</x:v>
      </x:c>
      <x:c r="H82" t="n">
        <x:v>1.8</x:v>
      </x:c>
      <x:c r="I82" t="n">
        <x:f>F82-H82</x:f>
        <x:v>6.2</x:v>
      </x:c>
      <x:c r="J82" t="n">
        <x:f>E82*I82</x:f>
        <x:v>5580</x:v>
      </x:c>
    </x:row>
    <x:row r="83">
      <x:c r="A83" t="str">
        <x:v>2026-07</x:v>
      </x:c>
      <x:c r="B83" t="str">
        <x:v>B02</x:v>
      </x:c>
      <x:c r="C83" t="str">
        <x:v>Local Wine</x:v>
      </x:c>
      <x:c r="D83" t="str">
        <x:v>Beverages</x:v>
      </x:c>
      <x:c r="E83" t="n">
        <x:v>500</x:v>
      </x:c>
      <x:c r="F83" t="n">
        <x:v>18</x:v>
      </x:c>
      <x:c r="G83" t="n">
        <x:f>E83*F83</x:f>
        <x:v>9000</x:v>
      </x:c>
      <x:c r="H83" t="n">
        <x:v>4.8</x:v>
      </x:c>
      <x:c r="I83" t="n">
        <x:f>F83-H83</x:f>
        <x:v>13.2</x:v>
      </x:c>
      <x:c r="J83" t="n">
        <x:f>E83*I83</x:f>
        <x:v>6600</x:v>
      </x:c>
    </x:row>
    <x:row r="84">
      <x:c r="A84" t="str">
        <x:v>2026-07</x:v>
      </x:c>
      <x:c r="B84" t="str">
        <x:v>B03</x:v>
      </x:c>
      <x:c r="C84" t="str">
        <x:v>Soft Drinks</x:v>
      </x:c>
      <x:c r="D84" t="str">
        <x:v>Beverages</x:v>
      </x:c>
      <x:c r="E84" t="n">
        <x:v>800</x:v>
      </x:c>
      <x:c r="F84" t="n">
        <x:v>5</x:v>
      </x:c>
      <x:c r="G84" t="n">
        <x:f>E84*F84</x:f>
        <x:v>4000</x:v>
      </x:c>
      <x:c r="H84" t="n">
        <x:v>0.9</x:v>
      </x:c>
      <x:c r="I84" t="n">
        <x:f>F84-H84</x:f>
        <x:v>4.1</x:v>
      </x:c>
      <x:c r="J84" t="n">
        <x:f>E84*I84</x:f>
        <x:v>3279.9999999999995</x:v>
      </x:c>
    </x:row>
    <x:row r="85">
      <x:c r="A85" t="str">
        <x:v>2026-07</x:v>
      </x:c>
      <x:c r="B85" t="str">
        <x:v>B04</x:v>
      </x:c>
      <x:c r="C85" t="str">
        <x:v>Cocktails</x:v>
      </x:c>
      <x:c r="D85" t="str">
        <x:v>Beverages</x:v>
      </x:c>
      <x:c r="E85" t="n">
        <x:v>400</x:v>
      </x:c>
      <x:c r="F85" t="n">
        <x:v>18</x:v>
      </x:c>
      <x:c r="G85" t="n">
        <x:f>E85*F85</x:f>
        <x:v>7200</x:v>
      </x:c>
      <x:c r="H85" t="n">
        <x:v>3.6</x:v>
      </x:c>
      <x:c r="I85" t="n">
        <x:f>F85-H85</x:f>
        <x:v>14.4</x:v>
      </x:c>
      <x:c r="J85" t="n">
        <x:f>E85*I85</x:f>
        <x:v>5760</x:v>
      </x:c>
    </x:row>
    <x:row r="86">
      <x:c r="A86" t="str">
        <x:v>2026-08</x:v>
      </x:c>
      <x:c r="B86" t="str">
        <x:v>F01</x:v>
      </x:c>
      <x:c r="C86" t="str">
        <x:v>Ribeye Steak</x:v>
      </x:c>
      <x:c r="D86" t="str">
        <x:v>Mains</x:v>
      </x:c>
      <x:c r="E86" t="n">
        <x:v>828</x:v>
      </x:c>
      <x:c r="F86" t="n">
        <x:v>45</x:v>
      </x:c>
      <x:c r="G86" t="n">
        <x:f>E86*F86</x:f>
        <x:v>37260</x:v>
      </x:c>
      <x:c r="H86" t="n">
        <x:v>17</x:v>
      </x:c>
      <x:c r="I86" t="n">
        <x:f>F86-H86</x:f>
        <x:v>28</x:v>
      </x:c>
      <x:c r="J86" t="n">
        <x:f>E86*I86</x:f>
        <x:v>23184</x:v>
      </x:c>
    </x:row>
    <x:row r="87">
      <x:c r="A87" t="str">
        <x:v>2026-08</x:v>
      </x:c>
      <x:c r="B87" t="str">
        <x:v>F02</x:v>
      </x:c>
      <x:c r="C87" t="str">
        <x:v>House Burger</x:v>
      </x:c>
      <x:c r="D87" t="str">
        <x:v>Mains</x:v>
      </x:c>
      <x:c r="E87" t="n">
        <x:v>1616</x:v>
      </x:c>
      <x:c r="F87" t="n">
        <x:v>22</x:v>
      </x:c>
      <x:c r="G87" t="n">
        <x:f>E87*F87</x:f>
        <x:v>35552</x:v>
      </x:c>
      <x:c r="H87" t="n">
        <x:v>7</x:v>
      </x:c>
      <x:c r="I87" t="n">
        <x:f>F87-H87</x:f>
        <x:v>15</x:v>
      </x:c>
      <x:c r="J87" t="n">
        <x:f>E87*I87</x:f>
        <x:v>24240</x:v>
      </x:c>
    </x:row>
    <x:row r="88">
      <x:c r="A88" t="str">
        <x:v>2026-08</x:v>
      </x:c>
      <x:c r="B88" t="str">
        <x:v>F03</x:v>
      </x:c>
      <x:c r="C88" t="str">
        <x:v>Club Sandwich</x:v>
      </x:c>
      <x:c r="D88" t="str">
        <x:v>Mains</x:v>
      </x:c>
      <x:c r="E88" t="n">
        <x:v>1500</x:v>
      </x:c>
      <x:c r="F88" t="n">
        <x:v>18</x:v>
      </x:c>
      <x:c r="G88" t="n">
        <x:f>E88*F88</x:f>
        <x:v>27000</x:v>
      </x:c>
      <x:c r="H88" t="n">
        <x:v>5.5</x:v>
      </x:c>
      <x:c r="I88" t="n">
        <x:f>F88-H88</x:f>
        <x:v>12.5</x:v>
      </x:c>
      <x:c r="J88" t="n">
        <x:f>E88*I88</x:f>
        <x:v>18750</x:v>
      </x:c>
    </x:row>
    <x:row r="89">
      <x:c r="A89" t="str">
        <x:v>2026-08</x:v>
      </x:c>
      <x:c r="B89" t="str">
        <x:v>F04</x:v>
      </x:c>
      <x:c r="C89" t="str">
        <x:v>Grilled Chicken</x:v>
      </x:c>
      <x:c r="D89" t="str">
        <x:v>Mains</x:v>
      </x:c>
      <x:c r="E89" t="n">
        <x:v>1456</x:v>
      </x:c>
      <x:c r="F89" t="n">
        <x:v>24</x:v>
      </x:c>
      <x:c r="G89" t="n">
        <x:f>E89*F89</x:f>
        <x:v>34944</x:v>
      </x:c>
      <x:c r="H89" t="n">
        <x:v>6.5</x:v>
      </x:c>
      <x:c r="I89" t="n">
        <x:f>F89-H89</x:f>
        <x:v>17.5</x:v>
      </x:c>
      <x:c r="J89" t="n">
        <x:f>E89*I89</x:f>
        <x:v>25480</x:v>
      </x:c>
    </x:row>
    <x:row r="90">
      <x:c r="A90" t="str">
        <x:v>2026-08</x:v>
      </x:c>
      <x:c r="B90" t="str">
        <x:v>F05</x:v>
      </x:c>
      <x:c r="C90" t="str">
        <x:v>Local Seafood Plate</x:v>
      </x:c>
      <x:c r="D90" t="str">
        <x:v>Mains</x:v>
      </x:c>
      <x:c r="E90" t="n">
        <x:v>735</x:v>
      </x:c>
      <x:c r="F90" t="n">
        <x:v>38</x:v>
      </x:c>
      <x:c r="G90" t="n">
        <x:f>E90*F90</x:f>
        <x:v>27930</x:v>
      </x:c>
      <x:c r="H90" t="n">
        <x:v>12.5</x:v>
      </x:c>
      <x:c r="I90" t="n">
        <x:f>F90-H90</x:f>
        <x:v>25.5</x:v>
      </x:c>
      <x:c r="J90" t="n">
        <x:f>E90*I90</x:f>
        <x:v>18742.5</x:v>
      </x:c>
    </x:row>
    <x:row r="91">
      <x:c r="A91" t="str">
        <x:v>2026-08</x:v>
      </x:c>
      <x:c r="B91" t="str">
        <x:v>F06</x:v>
      </x:c>
      <x:c r="C91" t="str">
        <x:v>Vegan Curry</x:v>
      </x:c>
      <x:c r="D91" t="str">
        <x:v>Mains</x:v>
      </x:c>
      <x:c r="E91" t="n">
        <x:v>816</x:v>
      </x:c>
      <x:c r="F91" t="n">
        <x:v>19</x:v>
      </x:c>
      <x:c r="G91" t="n">
        <x:f>E91*F91</x:f>
        <x:v>15504</x:v>
      </x:c>
      <x:c r="H91" t="n">
        <x:v>5</x:v>
      </x:c>
      <x:c r="I91" t="n">
        <x:f>F91-H91</x:f>
        <x:v>14</x:v>
      </x:c>
      <x:c r="J91" t="n">
        <x:f>E91*I91</x:f>
        <x:v>11424</x:v>
      </x:c>
    </x:row>
    <x:row r="92">
      <x:c r="A92" t="str">
        <x:v>2026-08</x:v>
      </x:c>
      <x:c r="B92" t="str">
        <x:v>F07</x:v>
      </x:c>
      <x:c r="C92" t="str">
        <x:v>Seasonal Soup</x:v>
      </x:c>
      <x:c r="D92" t="str">
        <x:v>Starters &amp; Desserts</x:v>
      </x:c>
      <x:c r="E92" t="n">
        <x:v>510</x:v>
      </x:c>
      <x:c r="F92" t="n">
        <x:v>12</x:v>
      </x:c>
      <x:c r="G92" t="n">
        <x:f>E92*F92</x:f>
        <x:v>6120</x:v>
      </x:c>
      <x:c r="H92" t="n">
        <x:v>3</x:v>
      </x:c>
      <x:c r="I92" t="n">
        <x:f>F92-H92</x:f>
        <x:v>9</x:v>
      </x:c>
      <x:c r="J92" t="n">
        <x:f>E92*I92</x:f>
        <x:v>4590</x:v>
      </x:c>
    </x:row>
    <x:row r="93">
      <x:c r="A93" t="str">
        <x:v>2026-08</x:v>
      </x:c>
      <x:c r="B93" t="str">
        <x:v>F08</x:v>
      </x:c>
      <x:c r="C93" t="str">
        <x:v>Chocolate Tart</x:v>
      </x:c>
      <x:c r="D93" t="str">
        <x:v>Starters &amp; Desserts</x:v>
      </x:c>
      <x:c r="E93" t="n">
        <x:v>525</x:v>
      </x:c>
      <x:c r="F93" t="n">
        <x:v>14</x:v>
      </x:c>
      <x:c r="G93" t="n">
        <x:f>E93*F93</x:f>
        <x:v>7350</x:v>
      </x:c>
      <x:c r="H93" t="n">
        <x:v>4.6</x:v>
      </x:c>
      <x:c r="I93" t="n">
        <x:f>F93-H93</x:f>
        <x:v>9.4</x:v>
      </x:c>
      <x:c r="J93" t="n">
        <x:f>E93*I93</x:f>
        <x:v>4935</x:v>
      </x:c>
    </x:row>
    <x:row r="94">
      <x:c r="A94" t="str">
        <x:v>2026-08</x:v>
      </x:c>
      <x:c r="B94" t="str">
        <x:v>B01</x:v>
      </x:c>
      <x:c r="C94" t="str">
        <x:v>House Beer</x:v>
      </x:c>
      <x:c r="D94" t="str">
        <x:v>Beverages</x:v>
      </x:c>
      <x:c r="E94" t="n">
        <x:v>918</x:v>
      </x:c>
      <x:c r="F94" t="n">
        <x:v>8</x:v>
      </x:c>
      <x:c r="G94" t="n">
        <x:f>E94*F94</x:f>
        <x:v>7344</x:v>
      </x:c>
      <x:c r="H94" t="n">
        <x:v>1.8</x:v>
      </x:c>
      <x:c r="I94" t="n">
        <x:f>F94-H94</x:f>
        <x:v>6.2</x:v>
      </x:c>
      <x:c r="J94" t="n">
        <x:f>E94*I94</x:f>
        <x:v>5691.6</x:v>
      </x:c>
    </x:row>
    <x:row r="95">
      <x:c r="A95" t="str">
        <x:v>2026-08</x:v>
      </x:c>
      <x:c r="B95" t="str">
        <x:v>B02</x:v>
      </x:c>
      <x:c r="C95" t="str">
        <x:v>Local Wine</x:v>
      </x:c>
      <x:c r="D95" t="str">
        <x:v>Beverages</x:v>
      </x:c>
      <x:c r="E95" t="n">
        <x:v>510</x:v>
      </x:c>
      <x:c r="F95" t="n">
        <x:v>18</x:v>
      </x:c>
      <x:c r="G95" t="n">
        <x:f>E95*F95</x:f>
        <x:v>9180</x:v>
      </x:c>
      <x:c r="H95" t="n">
        <x:v>4.8</x:v>
      </x:c>
      <x:c r="I95" t="n">
        <x:f>F95-H95</x:f>
        <x:v>13.2</x:v>
      </x:c>
      <x:c r="J95" t="n">
        <x:f>E95*I95</x:f>
        <x:v>6732</x:v>
      </x:c>
    </x:row>
    <x:row r="96">
      <x:c r="A96" t="str">
        <x:v>2026-08</x:v>
      </x:c>
      <x:c r="B96" t="str">
        <x:v>B03</x:v>
      </x:c>
      <x:c r="C96" t="str">
        <x:v>Soft Drinks</x:v>
      </x:c>
      <x:c r="D96" t="str">
        <x:v>Beverages</x:v>
      </x:c>
      <x:c r="E96" t="n">
        <x:v>800</x:v>
      </x:c>
      <x:c r="F96" t="n">
        <x:v>5</x:v>
      </x:c>
      <x:c r="G96" t="n">
        <x:f>E96*F96</x:f>
        <x:v>4000</x:v>
      </x:c>
      <x:c r="H96" t="n">
        <x:v>0.9</x:v>
      </x:c>
      <x:c r="I96" t="n">
        <x:f>F96-H96</x:f>
        <x:v>4.1</x:v>
      </x:c>
      <x:c r="J96" t="n">
        <x:f>E96*I96</x:f>
        <x:v>3279.9999999999995</x:v>
      </x:c>
    </x:row>
    <x:row r="97">
      <x:c r="A97" t="str">
        <x:v>2026-08</x:v>
      </x:c>
      <x:c r="B97" t="str">
        <x:v>B04</x:v>
      </x:c>
      <x:c r="C97" t="str">
        <x:v>Cocktails</x:v>
      </x:c>
      <x:c r="D97" t="str">
        <x:v>Beverages</x:v>
      </x:c>
      <x:c r="E97" t="n">
        <x:v>416</x:v>
      </x:c>
      <x:c r="F97" t="n">
        <x:v>18</x:v>
      </x:c>
      <x:c r="G97" t="n">
        <x:f>E97*F97</x:f>
        <x:v>7488</x:v>
      </x:c>
      <x:c r="H97" t="n">
        <x:v>3.6</x:v>
      </x:c>
      <x:c r="I97" t="n">
        <x:f>F97-H97</x:f>
        <x:v>14.4</x:v>
      </x:c>
      <x:c r="J97" t="n">
        <x:f>E97*I97</x:f>
        <x:v>5990.400000000001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24" hidden="0" customWidth="1"/>
    <x:col min="3" max="3" width="14.75" hidden="0" customWidth="1"/>
    <x:col min="4" max="4" width="12.25" hidden="0" customWidth="1"/>
    <x:col min="5" max="5" width="11.880000114440918" hidden="0" customWidth="1"/>
    <x:col min="6" max="6" width="14.5" hidden="0" customWidth="1"/>
    <x:col min="7" max="7" width="9.880000114440918" hidden="0" customWidth="1"/>
    <x:col min="8" max="8" width="19.8799991607666" hidden="0" customWidth="1"/>
    <x:col min="9" max="9" width="14.75" hidden="0" customWidth="1"/>
    <x:col min="10" max="10" width="6.25" hidden="0" customWidth="1"/>
  </x:cols>
  <x:sheetData>
    <x:row r="1">
      <x:c r="A1" s="32" t="str">
        <x:v>Item_Code</x:v>
      </x:c>
      <x:c r="B1" s="32" t="str">
        <x:v>Item</x:v>
      </x:c>
      <x:c r="C1" s="32" t="str">
        <x:v>Population</x:v>
      </x:c>
      <x:c r="D1" s="32" t="str">
        <x:v>Recipe_Version</x:v>
      </x:c>
      <x:c r="E1" s="32" t="str">
        <x:v>Effective_From</x:v>
      </x:c>
      <x:c r="F1" s="32" t="str">
        <x:v>Approved_Portion</x:v>
      </x:c>
      <x:c r="G1" s="46" t="str">
        <x:v>Yield_Factor</x:v>
      </x:c>
      <x:c r="H1" s="40" t="str">
        <x:v>Approved_Cost_per_Unit</x:v>
      </x:c>
      <x:c r="I1" s="32" t="str">
        <x:v>Basis</x:v>
      </x:c>
      <x:c r="J1" s="32" t="str">
        <x:v>Status</x:v>
      </x:c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F01</x:v>
      </x:c>
      <x:c r="B2" t="str">
        <x:v>Ribeye Steak</x:v>
      </x:c>
      <x:c r="C2" t="str">
        <x:v>Mains</x:v>
      </x:c>
      <x:c r="D2" t="str">
        <x:v>v3</x:v>
      </x:c>
      <x:c r="E2" t="str">
        <x:v>2026-06-01</x:v>
      </x:c>
      <x:c r="F2" t="str">
        <x:v>280 g</x:v>
      </x:c>
      <x:c r="G2" t="n">
        <x:v>0.72</x:v>
      </x:c>
      <x:c r="H2" t="n">
        <x:v>17</x:v>
      </x:c>
      <x:c r="I2" t="str">
        <x:v>Approved standard</x:v>
      </x:c>
      <x:c r="J2" t="str">
        <x:v>Current</x:v>
      </x:c>
    </x:row>
    <x:row r="3">
      <x:c r="A3" t="str">
        <x:v>F02</x:v>
      </x:c>
      <x:c r="B3" t="str">
        <x:v>House Burger</x:v>
      </x:c>
      <x:c r="C3" t="str">
        <x:v>Mains</x:v>
      </x:c>
      <x:c r="D3" t="str">
        <x:v>v1</x:v>
      </x:c>
      <x:c r="E3" t="str">
        <x:v>2026-06-01</x:v>
      </x:c>
      <x:c r="F3" t="str">
        <x:v>200 g</x:v>
      </x:c>
      <x:c r="G3" t="n">
        <x:v>1</x:v>
      </x:c>
      <x:c r="H3" t="n">
        <x:v>7</x:v>
      </x:c>
      <x:c r="I3" t="str">
        <x:v>Approved standard</x:v>
      </x:c>
      <x:c r="J3" t="str">
        <x:v>Current</x:v>
      </x:c>
    </x:row>
    <x:row r="4">
      <x:c r="A4" t="str">
        <x:v>F03</x:v>
      </x:c>
      <x:c r="B4" t="str">
        <x:v>Club Sandwich</x:v>
      </x:c>
      <x:c r="C4" t="str">
        <x:v>Mains</x:v>
      </x:c>
      <x:c r="D4" t="str">
        <x:v>v1</x:v>
      </x:c>
      <x:c r="E4" t="str">
        <x:v>2026-06-01</x:v>
      </x:c>
      <x:c r="F4" t="str"/>
      <x:c r="G4" t="n">
        <x:v>1</x:v>
      </x:c>
      <x:c r="H4" t="n">
        <x:v>5.5</x:v>
      </x:c>
      <x:c r="I4" t="str">
        <x:v>Approved standard</x:v>
      </x:c>
      <x:c r="J4" t="str">
        <x:v>Current</x:v>
      </x:c>
    </x:row>
    <x:row r="5">
      <x:c r="A5" t="str">
        <x:v>F04</x:v>
      </x:c>
      <x:c r="B5" t="str">
        <x:v>Grilled Chicken</x:v>
      </x:c>
      <x:c r="C5" t="str">
        <x:v>Mains</x:v>
      </x:c>
      <x:c r="D5" t="str">
        <x:v>v1</x:v>
      </x:c>
      <x:c r="E5" t="str">
        <x:v>2026-06-01</x:v>
      </x:c>
      <x:c r="F5" t="str"/>
      <x:c r="G5" t="n">
        <x:v>1</x:v>
      </x:c>
      <x:c r="H5" t="n">
        <x:v>6.5</x:v>
      </x:c>
      <x:c r="I5" t="str">
        <x:v>Approved standard</x:v>
      </x:c>
      <x:c r="J5" t="str">
        <x:v>Current</x:v>
      </x:c>
    </x:row>
    <x:row r="6">
      <x:c r="A6" t="str">
        <x:v>F05</x:v>
      </x:c>
      <x:c r="B6" t="str">
        <x:v>Local Seafood Plate</x:v>
      </x:c>
      <x:c r="C6" t="str">
        <x:v>Mains</x:v>
      </x:c>
      <x:c r="D6" t="str">
        <x:v>v1</x:v>
      </x:c>
      <x:c r="E6" t="str">
        <x:v>2026-06-01</x:v>
      </x:c>
      <x:c r="F6" t="str"/>
      <x:c r="G6" t="n">
        <x:v>1</x:v>
      </x:c>
      <x:c r="H6" t="n">
        <x:v>12.5</x:v>
      </x:c>
      <x:c r="I6" t="str">
        <x:v>Approved standard</x:v>
      </x:c>
      <x:c r="J6" t="str">
        <x:v>Current</x:v>
      </x:c>
    </x:row>
    <x:row r="7">
      <x:c r="A7" t="str">
        <x:v>F06</x:v>
      </x:c>
      <x:c r="B7" t="str">
        <x:v>Vegan Curry</x:v>
      </x:c>
      <x:c r="C7" t="str">
        <x:v>Mains</x:v>
      </x:c>
      <x:c r="D7" t="str">
        <x:v>v1</x:v>
      </x:c>
      <x:c r="E7" t="str">
        <x:v>2026-06-01</x:v>
      </x:c>
      <x:c r="F7" t="str"/>
      <x:c r="G7" t="n">
        <x:v>1</x:v>
      </x:c>
      <x:c r="H7" t="n">
        <x:v>5</x:v>
      </x:c>
      <x:c r="I7" t="str">
        <x:v>Approved standard</x:v>
      </x:c>
      <x:c r="J7" t="str">
        <x:v>Current</x:v>
      </x:c>
    </x:row>
    <x:row r="8">
      <x:c r="A8" t="str">
        <x:v>F07</x:v>
      </x:c>
      <x:c r="B8" t="str">
        <x:v>Seasonal Soup</x:v>
      </x:c>
      <x:c r="C8" t="str">
        <x:v>Starters &amp; Desserts</x:v>
      </x:c>
      <x:c r="D8" t="str">
        <x:v>v1</x:v>
      </x:c>
      <x:c r="E8" t="str">
        <x:v>2026-06-01</x:v>
      </x:c>
      <x:c r="F8" t="str"/>
      <x:c r="G8" t="n">
        <x:v>1</x:v>
      </x:c>
      <x:c r="H8" t="n">
        <x:v>3</x:v>
      </x:c>
      <x:c r="I8" t="str">
        <x:v>Approved standard</x:v>
      </x:c>
      <x:c r="J8" t="str">
        <x:v>Current</x:v>
      </x:c>
    </x:row>
    <x:row r="9">
      <x:c r="A9" t="str">
        <x:v>F08</x:v>
      </x:c>
      <x:c r="B9" t="str">
        <x:v>Chocolate Tart</x:v>
      </x:c>
      <x:c r="C9" t="str">
        <x:v>Starters &amp; Desserts</x:v>
      </x:c>
      <x:c r="D9" t="str">
        <x:v>v1</x:v>
      </x:c>
      <x:c r="E9" t="str">
        <x:v>2026-06-01</x:v>
      </x:c>
      <x:c r="F9" t="str"/>
      <x:c r="G9" t="n">
        <x:v>1</x:v>
      </x:c>
      <x:c r="H9" t="n">
        <x:v>4.6</x:v>
      </x:c>
      <x:c r="I9" t="str">
        <x:v>Approved standard</x:v>
      </x:c>
      <x:c r="J9" t="str">
        <x:v>Current</x:v>
      </x:c>
    </x:row>
    <x:row r="10">
      <x:c r="A10" t="str">
        <x:v>B01</x:v>
      </x:c>
      <x:c r="B10" t="str">
        <x:v>House Beer</x:v>
      </x:c>
      <x:c r="C10" t="str">
        <x:v>Beverages</x:v>
      </x:c>
      <x:c r="D10" t="str">
        <x:v>v1</x:v>
      </x:c>
      <x:c r="E10" t="str">
        <x:v>2026-06-01</x:v>
      </x:c>
      <x:c r="F10" t="str"/>
      <x:c r="G10" t="n">
        <x:v>1</x:v>
      </x:c>
      <x:c r="H10" t="n">
        <x:v>1.8</x:v>
      </x:c>
      <x:c r="I10" t="str">
        <x:v>Approved standard</x:v>
      </x:c>
      <x:c r="J10" t="str">
        <x:v>Current</x:v>
      </x:c>
    </x:row>
    <x:row r="11">
      <x:c r="A11" t="str">
        <x:v>B02</x:v>
      </x:c>
      <x:c r="B11" t="str">
        <x:v>Local Wine</x:v>
      </x:c>
      <x:c r="C11" t="str">
        <x:v>Beverages</x:v>
      </x:c>
      <x:c r="D11" t="str">
        <x:v>v1</x:v>
      </x:c>
      <x:c r="E11" t="str">
        <x:v>2026-06-01</x:v>
      </x:c>
      <x:c r="F11" t="str"/>
      <x:c r="G11" t="n">
        <x:v>1</x:v>
      </x:c>
      <x:c r="H11" t="n">
        <x:v>4.8</x:v>
      </x:c>
      <x:c r="I11" t="str">
        <x:v>Approved standard</x:v>
      </x:c>
      <x:c r="J11" t="str">
        <x:v>Current</x:v>
      </x:c>
    </x:row>
    <x:row r="12">
      <x:c r="A12" t="str">
        <x:v>B03</x:v>
      </x:c>
      <x:c r="B12" t="str">
        <x:v>Soft Drinks</x:v>
      </x:c>
      <x:c r="C12" t="str">
        <x:v>Beverages</x:v>
      </x:c>
      <x:c r="D12" t="str">
        <x:v>v1</x:v>
      </x:c>
      <x:c r="E12" t="str">
        <x:v>2026-06-01</x:v>
      </x:c>
      <x:c r="F12" t="str"/>
      <x:c r="G12" t="n">
        <x:v>1</x:v>
      </x:c>
      <x:c r="H12" t="n">
        <x:v>0.9</x:v>
      </x:c>
      <x:c r="I12" t="str">
        <x:v>Approved standard</x:v>
      </x:c>
      <x:c r="J12" t="str">
        <x:v>Current</x:v>
      </x:c>
    </x:row>
    <x:row r="13">
      <x:c r="A13" t="str">
        <x:v>B04</x:v>
      </x:c>
      <x:c r="B13" t="str">
        <x:v>Cocktails</x:v>
      </x:c>
      <x:c r="C13" t="str">
        <x:v>Beverages</x:v>
      </x:c>
      <x:c r="D13" t="str">
        <x:v>v1</x:v>
      </x:c>
      <x:c r="E13" t="str">
        <x:v>2026-06-01</x:v>
      </x:c>
      <x:c r="F13" t="str"/>
      <x:c r="G13" t="n">
        <x:v>1</x:v>
      </x:c>
      <x:c r="H13" t="n">
        <x:v>3.6</x:v>
      </x:c>
      <x:c r="I13" t="str">
        <x:v>Approved standard</x:v>
      </x:c>
      <x:c r="J13" t="str">
        <x:v>Current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9.8799991607666" hidden="0" customWidth="1"/>
    <x:col min="3" max="3" width="24" hidden="0" customWidth="1"/>
    <x:col min="4" max="4" width="12.130000114440918" hidden="0" customWidth="1"/>
    <x:col min="5" max="5" width="7.5" hidden="0" customWidth="1"/>
    <x:col min="6" max="6" width="19.8799991607666" hidden="0" customWidth="1"/>
    <x:col min="7" max="7" width="11.75" hidden="0" customWidth="1"/>
    <x:col min="8" max="8" width="12.880000114440918" hidden="0" customWidth="1"/>
  </x:cols>
  <x:sheetData>
    <x:row r="1">
      <x:c r="A1" s="32" t="str">
        <x:v>Period</x:v>
      </x:c>
      <x:c r="B1" s="32" t="str">
        <x:v>Item_Code</x:v>
      </x:c>
      <x:c r="C1" s="32" t="str">
        <x:v>Item</x:v>
      </x:c>
      <x:c r="D1" s="32" t="str">
        <x:v>Product_Group</x:v>
      </x:c>
      <x:c r="E1" s="40" t="str">
        <x:v>Qty_Sold</x:v>
      </x:c>
      <x:c r="F1" s="40" t="str">
        <x:v>Approved_Cost_per_Unit</x:v>
      </x:c>
      <x:c r="G1" s="40" t="str">
        <x:v>Expected_Cost</x:v>
      </x:c>
      <x:c r="H1" s="32" t="str">
        <x:v>Evidence_Status</x:v>
      </x:c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2026-07</x:v>
      </x:c>
      <x:c r="B2" t="str">
        <x:v>F01</x:v>
      </x:c>
      <x:c r="C2" t="str">
        <x:v>Ribeye Steak</x:v>
      </x:c>
      <x:c r="D2" t="str">
        <x:v>Food</x:v>
      </x:c>
      <x:c r="E2" t="n">
        <x:v>900</x:v>
      </x:c>
      <x:c r="F2" t="n">
        <x:v>17</x:v>
      </x:c>
      <x:c r="G2" t="n">
        <x:f>E2*F2</x:f>
        <x:v>15300</x:v>
      </x:c>
      <x:c r="H2" t="str">
        <x:v>Supported</x:v>
      </x:c>
    </x:row>
    <x:row r="3">
      <x:c r="A3" t="str">
        <x:v>2026-07</x:v>
      </x:c>
      <x:c r="B3" t="str">
        <x:v>F02</x:v>
      </x:c>
      <x:c r="C3" t="str">
        <x:v>House Burger</x:v>
      </x:c>
      <x:c r="D3" t="str">
        <x:v>Food</x:v>
      </x:c>
      <x:c r="E3" t="n">
        <x:v>1600</x:v>
      </x:c>
      <x:c r="F3" t="n">
        <x:v>7</x:v>
      </x:c>
      <x:c r="G3" t="n">
        <x:f>E3*F3</x:f>
        <x:v>11200</x:v>
      </x:c>
      <x:c r="H3" t="str">
        <x:v>Supported</x:v>
      </x:c>
    </x:row>
    <x:row r="4">
      <x:c r="A4" t="str">
        <x:v>2026-07</x:v>
      </x:c>
      <x:c r="B4" t="str">
        <x:v>F03</x:v>
      </x:c>
      <x:c r="C4" t="str">
        <x:v>Club Sandwich</x:v>
      </x:c>
      <x:c r="D4" t="str">
        <x:v>Food</x:v>
      </x:c>
      <x:c r="E4" t="n">
        <x:v>1500</x:v>
      </x:c>
      <x:c r="F4" t="n">
        <x:v>5.5</x:v>
      </x:c>
      <x:c r="G4" t="n">
        <x:f>E4*F4</x:f>
        <x:v>8250</x:v>
      </x:c>
      <x:c r="H4" t="str">
        <x:v>Supported</x:v>
      </x:c>
    </x:row>
    <x:row r="5">
      <x:c r="A5" t="str">
        <x:v>2026-07</x:v>
      </x:c>
      <x:c r="B5" t="str">
        <x:v>F04</x:v>
      </x:c>
      <x:c r="C5" t="str">
        <x:v>Grilled Chicken</x:v>
      </x:c>
      <x:c r="D5" t="str">
        <x:v>Food</x:v>
      </x:c>
      <x:c r="E5" t="n">
        <x:v>1400</x:v>
      </x:c>
      <x:c r="F5" t="n">
        <x:v>6.5</x:v>
      </x:c>
      <x:c r="G5" t="n">
        <x:f>E5*F5</x:f>
        <x:v>9100</x:v>
      </x:c>
      <x:c r="H5" t="str">
        <x:v>Supported</x:v>
      </x:c>
    </x:row>
    <x:row r="6">
      <x:c r="A6" t="str">
        <x:v>2026-07</x:v>
      </x:c>
      <x:c r="B6" t="str">
        <x:v>F05</x:v>
      </x:c>
      <x:c r="C6" t="str">
        <x:v>Local Seafood Plate</x:v>
      </x:c>
      <x:c r="D6" t="str">
        <x:v>Food</x:v>
      </x:c>
      <x:c r="E6" t="n">
        <x:v>700</x:v>
      </x:c>
      <x:c r="F6" t="n">
        <x:v>12.5</x:v>
      </x:c>
      <x:c r="G6" t="n">
        <x:f>E6*F6</x:f>
        <x:v>8750</x:v>
      </x:c>
      <x:c r="H6" t="str">
        <x:v>Supported</x:v>
      </x:c>
    </x:row>
    <x:row r="7">
      <x:c r="A7" t="str">
        <x:v>2026-07</x:v>
      </x:c>
      <x:c r="B7" t="str">
        <x:v>F06</x:v>
      </x:c>
      <x:c r="C7" t="str">
        <x:v>Vegan Curry</x:v>
      </x:c>
      <x:c r="D7" t="str">
        <x:v>Food</x:v>
      </x:c>
      <x:c r="E7" t="n">
        <x:v>800</x:v>
      </x:c>
      <x:c r="F7" t="n">
        <x:v>5</x:v>
      </x:c>
      <x:c r="G7" t="n">
        <x:f>E7*F7</x:f>
        <x:v>4000</x:v>
      </x:c>
      <x:c r="H7" t="str">
        <x:v>Supported</x:v>
      </x:c>
    </x:row>
    <x:row r="8">
      <x:c r="A8" t="str">
        <x:v>2026-07</x:v>
      </x:c>
      <x:c r="B8" t="str">
        <x:v>F07</x:v>
      </x:c>
      <x:c r="C8" t="str">
        <x:v>Seasonal Soup</x:v>
      </x:c>
      <x:c r="D8" t="str">
        <x:v>Food</x:v>
      </x:c>
      <x:c r="E8" t="n">
        <x:v>500</x:v>
      </x:c>
      <x:c r="F8" t="n">
        <x:v>3</x:v>
      </x:c>
      <x:c r="G8" t="n">
        <x:f>E8*F8</x:f>
        <x:v>1500</x:v>
      </x:c>
      <x:c r="H8" t="str">
        <x:v>Supported</x:v>
      </x:c>
    </x:row>
    <x:row r="9">
      <x:c r="A9" t="str">
        <x:v>2026-07</x:v>
      </x:c>
      <x:c r="B9" t="str">
        <x:v>F08</x:v>
      </x:c>
      <x:c r="C9" t="str">
        <x:v>Chocolate Tart</x:v>
      </x:c>
      <x:c r="D9" t="str">
        <x:v>Food</x:v>
      </x:c>
      <x:c r="E9" t="n">
        <x:v>500</x:v>
      </x:c>
      <x:c r="F9" t="n">
        <x:v>4.6</x:v>
      </x:c>
      <x:c r="G9" t="n">
        <x:f>E9*F9</x:f>
        <x:v>2300</x:v>
      </x:c>
      <x:c r="H9" t="str">
        <x:v>Supported</x:v>
      </x:c>
    </x:row>
    <x:row r="10">
      <x:c r="A10" t="str">
        <x:v>2026-07</x:v>
      </x:c>
      <x:c r="B10" t="str">
        <x:v>B01</x:v>
      </x:c>
      <x:c r="C10" t="str">
        <x:v>House Beer</x:v>
      </x:c>
      <x:c r="D10" t="str">
        <x:v>Beverage</x:v>
      </x:c>
      <x:c r="E10" t="n">
        <x:v>900</x:v>
      </x:c>
      <x:c r="F10" t="n">
        <x:v>1.8</x:v>
      </x:c>
      <x:c r="G10" t="n">
        <x:f>E10*F10</x:f>
        <x:v>1620</x:v>
      </x:c>
      <x:c r="H10" t="str">
        <x:v>Supported</x:v>
      </x:c>
    </x:row>
    <x:row r="11">
      <x:c r="A11" t="str">
        <x:v>2026-07</x:v>
      </x:c>
      <x:c r="B11" t="str">
        <x:v>B02</x:v>
      </x:c>
      <x:c r="C11" t="str">
        <x:v>Local Wine</x:v>
      </x:c>
      <x:c r="D11" t="str">
        <x:v>Beverage</x:v>
      </x:c>
      <x:c r="E11" t="n">
        <x:v>500</x:v>
      </x:c>
      <x:c r="F11" t="n">
        <x:v>4.8</x:v>
      </x:c>
      <x:c r="G11" t="n">
        <x:f>E11*F11</x:f>
        <x:v>2400</x:v>
      </x:c>
      <x:c r="H11" t="str">
        <x:v>Supported</x:v>
      </x:c>
    </x:row>
    <x:row r="12">
      <x:c r="A12" t="str">
        <x:v>2026-07</x:v>
      </x:c>
      <x:c r="B12" t="str">
        <x:v>B03</x:v>
      </x:c>
      <x:c r="C12" t="str">
        <x:v>Soft Drinks</x:v>
      </x:c>
      <x:c r="D12" t="str">
        <x:v>Beverage</x:v>
      </x:c>
      <x:c r="E12" t="n">
        <x:v>800</x:v>
      </x:c>
      <x:c r="F12" t="n">
        <x:v>0.9</x:v>
      </x:c>
      <x:c r="G12" t="n">
        <x:f>E12*F12</x:f>
        <x:v>720</x:v>
      </x:c>
      <x:c r="H12" t="str">
        <x:v>Supported</x:v>
      </x:c>
    </x:row>
    <x:row r="13">
      <x:c r="A13" t="str">
        <x:v>2026-07</x:v>
      </x:c>
      <x:c r="B13" t="str">
        <x:v>B04</x:v>
      </x:c>
      <x:c r="C13" t="str">
        <x:v>Cocktails</x:v>
      </x:c>
      <x:c r="D13" t="str">
        <x:v>Beverage</x:v>
      </x:c>
      <x:c r="E13" t="n">
        <x:v>400</x:v>
      </x:c>
      <x:c r="F13" t="n">
        <x:v>3.6</x:v>
      </x:c>
      <x:c r="G13" t="n">
        <x:f>E13*F13</x:f>
        <x:v>1440</x:v>
      </x:c>
      <x:c r="H13" t="str">
        <x:v>Supported</x:v>
      </x:c>
    </x:row>
    <x:row r="15">
      <x:c r="A15" s="7" t="str">
        <x:v>Control</x:v>
      </x:c>
      <x:c r="B15" s="7" t="str">
        <x:v>Food Expected Usage</x:v>
      </x:c>
      <x:c r="C15" s="7"/>
      <x:c r="D15" s="7"/>
      <x:c r="E15" s="7" t="n">
        <x:f>SUMIF(D2:D13,"Food",G2:G13)</x:f>
        <x:v>60400</x:v>
      </x:c>
    </x:row>
    <x:row r="16">
      <x:c r="A16" s="7" t="str">
        <x:v>Control</x:v>
      </x:c>
      <x:c r="B16" s="7" t="str">
        <x:v>Beverage Expected Usage</x:v>
      </x:c>
      <x:c r="C16" s="7"/>
      <x:c r="D16" s="7"/>
      <x:c r="E16" s="7" t="n">
        <x:f>SUMIF(D2:D13,"Beverage",G2:G13)</x:f>
        <x:v>6180</x:v>
      </x:c>
    </x:row>
    <x:row r="17">
      <x:c r="A17" s="7" t="str">
        <x:v>Control</x:v>
      </x:c>
      <x:c r="B17" s="7" t="str">
        <x:v>Total Expected Usage</x:v>
      </x:c>
      <x:c r="C17" s="7"/>
      <x:c r="D17" s="7"/>
      <x:c r="E17" s="7" t="n">
        <x:f>E15+E16</x:f>
        <x:v>66580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25" hidden="0" customWidth="1"/>
    <x:col min="3" max="3" width="7.130000114440918" hidden="0" customWidth="1"/>
    <x:col min="4" max="4" width="11" hidden="0" customWidth="1"/>
    <x:col min="5" max="5" width="14.25" hidden="0" customWidth="1"/>
  </x:cols>
  <x:sheetData>
    <x:row r="1">
      <x:c r="A1" s="32" t="str">
        <x:v>Period</x:v>
      </x:c>
      <x:c r="B1" s="32" t="str">
        <x:v>Source</x:v>
      </x:c>
      <x:c r="C1" s="40" t="str">
        <x:v>Revenue</x:v>
      </x:c>
      <x:c r="D1" s="40" t="str">
        <x:v>Channel_Cost</x:v>
      </x:c>
      <x:c r="E1" s="32" t="str">
        <x:v>Evidence_Status</x:v>
      </x:c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2026-07</x:v>
      </x:c>
      <x:c r="B2" t="str">
        <x:v>Direct / Walk-in</x:v>
      </x:c>
      <x:c r="C2" t="n">
        <x:v>67000</x:v>
      </x:c>
      <x:c r="D2" t="n">
        <x:v>0</x:v>
      </x:c>
      <x:c r="E2" t="str">
        <x:v>Partly Supported</x:v>
      </x:c>
    </x:row>
    <x:row r="3">
      <x:c r="A3" t="str">
        <x:v>2026-07</x:v>
      </x:c>
      <x:c r="B3" t="str">
        <x:v>Repeat</x:v>
      </x:c>
      <x:c r="C3" t="n">
        <x:v>55000</x:v>
      </x:c>
      <x:c r="D3" t="n">
        <x:v>0</x:v>
      </x:c>
      <x:c r="E3" t="str">
        <x:v>Partly Supported</x:v>
      </x:c>
    </x:row>
    <x:row r="4">
      <x:c r="A4" t="str">
        <x:v>2026-07</x:v>
      </x:c>
      <x:c r="B4" t="str">
        <x:v>Corporate / Local Office</x:v>
      </x:c>
      <x:c r="C4" t="n">
        <x:v>15000</x:v>
      </x:c>
      <x:c r="D4" t="n">
        <x:v>200</x:v>
      </x:c>
      <x:c r="E4" t="str">
        <x:v>Supported</x:v>
      </x:c>
    </x:row>
    <x:row r="5">
      <x:c r="A5" t="str">
        <x:v>2026-07</x:v>
      </x:c>
      <x:c r="B5" t="str">
        <x:v>Organic Digital</x:v>
      </x:c>
      <x:c r="C5" t="n">
        <x:v>17000</x:v>
      </x:c>
      <x:c r="D5" t="n">
        <x:v>250</x:v>
      </x:c>
      <x:c r="E5" t="str">
        <x:v>Supported</x:v>
      </x:c>
    </x:row>
    <x:row r="6">
      <x:c r="A6" t="str">
        <x:v>2026-07</x:v>
      </x:c>
      <x:c r="B6" t="str">
        <x:v>Paid Marketing</x:v>
      </x:c>
      <x:c r="C6" t="n">
        <x:v>15500</x:v>
      </x:c>
      <x:c r="D6" t="n">
        <x:v>1250</x:v>
      </x:c>
      <x:c r="E6" t="str">
        <x:v>Supported</x:v>
      </x:c>
    </x:row>
    <x:row r="7">
      <x:c r="A7" t="str">
        <x:v>2026-07</x:v>
      </x:c>
      <x:c r="B7" t="str">
        <x:v>Reservation Platform</x:v>
      </x:c>
      <x:c r="C7" t="n">
        <x:v>13500</x:v>
      </x:c>
      <x:c r="D7" t="n">
        <x:v>675</x:v>
      </x:c>
      <x:c r="E7" t="str">
        <x:v>Supported</x:v>
      </x:c>
    </x:row>
    <x:row r="8">
      <x:c r="A8" t="str">
        <x:v>2026-07</x:v>
      </x:c>
      <x:c r="B8" t="str">
        <x:v>Delivery Platform</x:v>
      </x:c>
      <x:c r="C8" t="n">
        <x:v>23000</x:v>
      </x:c>
      <x:c r="D8" t="n">
        <x:v>1000</x:v>
      </x:c>
      <x:c r="E8" t="str">
        <x:v>Supported</x:v>
      </x:c>
    </x:row>
    <x:row r="9">
      <x:c r="A9" t="str">
        <x:v>2026-07</x:v>
      </x:c>
      <x:c r="B9" t="str">
        <x:v>Event</x:v>
      </x:c>
      <x:c r="C9" t="n">
        <x:v>8500</x:v>
      </x:c>
      <x:c r="D9" t="n">
        <x:v>125</x:v>
      </x:c>
      <x:c r="E9" t="str">
        <x:v>Supported</x:v>
      </x:c>
    </x:row>
    <x:row r="10">
      <x:c r="A10" t="str">
        <x:v>2026-07</x:v>
      </x:c>
      <x:c r="B10" t="str">
        <x:v>Not attributed</x:v>
      </x:c>
      <x:c r="C10" t="n">
        <x:v>14000</x:v>
      </x:c>
      <x:c r="D10" t="n">
        <x:v>100</x:v>
      </x:c>
      <x:c r="E10" t="str">
        <x:v>Evidence Required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9.3799991607666" hidden="0" customWidth="1"/>
    <x:col min="3" max="3" width="5.380000114440918" hidden="0" customWidth="1"/>
    <x:col min="4" max="4" width="6" hidden="0" customWidth="1"/>
    <x:col min="5" max="5" width="28" hidden="0" customWidth="1"/>
    <x:col min="6" max="6" width="28" hidden="0" customWidth="1"/>
    <x:col min="7" max="7" width="14.25" hidden="0" customWidth="1"/>
    <x:col min="8" max="8" width="28" hidden="0" customWidth="1"/>
    <x:col min="9" max="9" width="28" hidden="0" customWidth="1"/>
  </x:cols>
  <x:sheetData>
    <x:row r="1">
      <x:c r="A1" s="32" t="str">
        <x:v>Period</x:v>
      </x:c>
      <x:c r="B1" s="32" t="str">
        <x:v>Expense</x:v>
      </x:c>
      <x:c r="C1" s="38" t="str">
        <x:v>Actual</x:v>
      </x:c>
      <x:c r="D1" s="38" t="str">
        <x:v>Budget</x:v>
      </x:c>
      <x:c r="E1" s="32" t="str">
        <x:v>Driver</x:v>
      </x:c>
      <x:c r="F1" s="32" t="str">
        <x:v>Behaviour</x:v>
      </x:c>
      <x:c r="G1" s="32" t="str">
        <x:v>Evidence_Status</x:v>
      </x:c>
      <x:c r="H1" s="32" t="str">
        <x:v>Controllability</x:v>
      </x:c>
      <x:c r="I1" s="32" t="str">
        <x:v>Suggested_Response</x:v>
      </x:c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2026-07</x:v>
      </x:c>
      <x:c r="B2" t="str">
        <x:v>Utilities</x:v>
      </x:c>
      <x:c r="C2" t="n">
        <x:v>7750</x:v>
      </x:c>
      <x:c r="D2" t="n">
        <x:v>6500</x:v>
      </x:c>
      <x:c r="E2" t="str">
        <x:v>Tariff increase; consumption about on expectation</x:v>
      </x:c>
      <x:c r="F2" t="str">
        <x:v>Contract / Tariff Driven</x:v>
      </x:c>
      <x:c r="G2" t="str">
        <x:v>Supported</x:v>
      </x:c>
      <x:c r="H2" t="str">
        <x:v>At renewal</x:v>
      </x:c>
      <x:c r="I2" t="str">
        <x:v>Escalate</x:v>
      </x:c>
    </x:row>
    <x:row r="3">
      <x:c r="A3" t="str">
        <x:v>2026-07</x:v>
      </x:c>
      <x:c r="B3" t="str">
        <x:v>Repairs and maintenance</x:v>
      </x:c>
      <x:c r="C3" t="n">
        <x:v>2800</x:v>
      </x:c>
      <x:c r="D3" t="n">
        <x:v>700</x:v>
      </x:c>
      <x:c r="E3" t="str">
        <x:v>One HVAC compressor repair</x:v>
      </x:c>
      <x:c r="F3" t="str">
        <x:v>Mixed / Timing / One-Off</x:v>
      </x:c>
      <x:c r="G3" t="str">
        <x:v>Supported</x:v>
      </x:c>
      <x:c r="H3" t="str">
        <x:v>Repair completed</x:v>
      </x:c>
      <x:c r="I3" t="str">
        <x:v>Close / monitor recurrence</x:v>
      </x:c>
    </x:row>
    <x:row r="4">
      <x:c r="A4" t="str">
        <x:v>2026-07</x:v>
      </x:c>
      <x:c r="B4" t="str">
        <x:v>Equipment hire</x:v>
      </x:c>
      <x:c r="C4" t="n">
        <x:v>1300</x:v>
      </x:c>
      <x:c r="D4" t="n">
        <x:v>1000</x:v>
      </x:c>
      <x:c r="E4" t="str">
        <x:v>Driver not supplied</x:v>
      </x:c>
      <x:c r="F4" t="str">
        <x:v>Step / Semi-Fixed</x:v>
      </x:c>
      <x:c r="G4" t="str">
        <x:v>Evidence Required</x:v>
      </x:c>
      <x:c r="H4" t="str">
        <x:v>Evidence Required</x:v>
      </x:c>
      <x:c r="I4" t="str">
        <x:v>Investigate</x:v>
      </x:c>
    </x:row>
    <x:row r="5">
      <x:c r="A5" t="str">
        <x:v>2026-07</x:v>
      </x:c>
      <x:c r="B5" t="str">
        <x:v>Cleaning and laundry</x:v>
      </x:c>
      <x:c r="C5" t="n">
        <x:v>1120</x:v>
      </x:c>
      <x:c r="D5" t="n">
        <x:v>1500</x:v>
      </x:c>
      <x:c r="E5" t="str">
        <x:v>Volume / service schedule</x:v>
      </x:c>
      <x:c r="F5" t="str">
        <x:v>Flexible</x:v>
      </x:c>
      <x:c r="G5" t="str">
        <x:v>Partly Supported</x:v>
      </x:c>
      <x:c r="H5" t="str">
        <x:v>Monthly</x:v>
      </x:c>
      <x:c r="I5" t="str">
        <x:v>Monitor</x:v>
      </x:c>
    </x:row>
    <x:row r="6">
      <x:c r="A6" t="str">
        <x:v>2026-07</x:v>
      </x:c>
      <x:c r="B6" t="str">
        <x:v>Insurance and licences</x:v>
      </x:c>
      <x:c r="C6" t="n">
        <x:v>1282</x:v>
      </x:c>
      <x:c r="D6" t="n">
        <x:v>2460</x:v>
      </x:c>
      <x:c r="E6" t="str">
        <x:v>Timing / annual policy</x:v>
      </x:c>
      <x:c r="F6" t="str">
        <x:v>Base / Fixed Within Range</x:v>
      </x:c>
      <x:c r="G6" t="str">
        <x:v>Partly Supported</x:v>
      </x:c>
      <x:c r="H6" t="str">
        <x:v>At renewal</x:v>
      </x:c>
      <x:c r="I6" t="str">
        <x:v>Close timing difference if confirmed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.880000114440918" hidden="0" customWidth="1"/>
    <x:col min="3" max="3" width="15.380000114440918" hidden="0" customWidth="1"/>
    <x:col min="4" max="4" width="20.75" hidden="0" customWidth="1"/>
    <x:col min="5" max="5" width="36" hidden="0" customWidth="1"/>
    <x:col min="6" max="6" width="36" hidden="0" customWidth="1"/>
    <x:col min="7" max="7" width="10.630000114440918" hidden="0" customWidth="1"/>
    <x:col min="8" max="8" width="13.380000114440918" hidden="0" customWidth="1"/>
    <x:col min="9" max="9" width="36" hidden="0" customWidth="1"/>
    <x:col min="10" max="10" width="13.380000114440918" hidden="0" customWidth="1"/>
    <x:col min="11" max="11" width="14" hidden="0" customWidth="1"/>
  </x:cols>
  <x:sheetData>
    <x:row r="1">
      <x:c r="A1" s="32" t="str">
        <x:v>Origin_Period</x:v>
      </x:c>
      <x:c r="B1" s="32" t="str">
        <x:v>Issue</x:v>
      </x:c>
      <x:c r="C1" s="32" t="str">
        <x:v>Disposition</x:v>
      </x:c>
      <x:c r="D1" s="32" t="str">
        <x:v>Owner</x:v>
      </x:c>
      <x:c r="E1" s="32" t="str">
        <x:v>Action_or_Evidence</x:v>
      </x:c>
      <x:c r="F1" s="32" t="str">
        <x:v>Metric</x:v>
      </x:c>
      <x:c r="G1" s="32" t="str">
        <x:v>Review_Date</x:v>
      </x:c>
      <x:c r="H1" s="32" t="str">
        <x:v>Followup_Period</x:v>
      </x:c>
      <x:c r="I1" s="32" t="str">
        <x:v>Followup_Evidence</x:v>
      </x:c>
      <x:c r="J1" s="32" t="str">
        <x:v>Status</x:v>
      </x:c>
      <x:c r="K1" s="32" t="str">
        <x:v>Tag</x:v>
      </x:c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2026-07</x:v>
      </x:c>
      <x:c r="B2" t="str">
        <x:v>Food cost</x:v>
      </x:c>
      <x:c r="C2" t="str">
        <x:v>ACT</x:v>
      </x:c>
      <x:c r="D2" t="str">
        <x:v>Kitchen Manager</x:v>
      </x:c>
      <x:c r="E2" t="str">
        <x:v>Cap nightly steak-special volume; review kitchen-error comps weekly</x:v>
      </x:c>
      <x:c r="F2" t="str">
        <x:v>Steak mix, comps, Food Cost %</x:v>
      </x:c>
      <x:c r="G2" t="str">
        <x:v>2026-08-31</x:v>
      </x:c>
      <x:c r="H2" t="str">
        <x:v>2026-08</x:v>
      </x:c>
      <x:c r="I2" t="str">
        <x:v>Steak mix normalised; comps reduced; Food Cost 31.0%</x:v>
      </x:c>
      <x:c r="J2" t="str">
        <x:v>CLOSED</x:v>
      </x:c>
      <x:c r="K2" t="str">
        <x:v>follow-up monitor</x:v>
      </x:c>
    </x:row>
    <x:row r="3">
      <x:c r="A3" t="str">
        <x:v>2026-07</x:v>
      </x:c>
      <x:c r="B3" t="str">
        <x:v>Beverage cost</x:v>
      </x:c>
      <x:c r="C3" t="str">
        <x:v>INVESTIGATE</x:v>
      </x:c>
      <x:c r="D3" t="str">
        <x:v>FOH / Beverage Manager</x:v>
      </x:c>
      <x:c r="E3" t="str">
        <x:v>Two-week pour-and-stock reconciliation</x:v>
      </x:c>
      <x:c r="F3" t="str">
        <x:v>Residual / reconciliation result</x:v>
      </x:c>
      <x:c r="G3" t="str">
        <x:v>2026-08-15</x:v>
      </x:c>
      <x:c r="H3" t="str">
        <x:v>2026-08</x:v>
      </x:c>
      <x:c r="I3" t="str">
        <x:v>Open-stock recipe mapping and recorded spillage explained most of gap; residual immaterial</x:v>
      </x:c>
      <x:c r="J3" t="str">
        <x:v>CLOSED</x:v>
      </x:c>
      <x:c r="K3" t="str"/>
    </x:row>
    <x:row r="4">
      <x:c r="A4" t="str">
        <x:v>2026-07</x:v>
      </x:c>
      <x:c r="B4" t="str">
        <x:v>Labour</x:v>
      </x:c>
      <x:c r="C4" t="str">
        <x:v>ACT</x:v>
      </x:c>
      <x:c r="D4" t="str">
        <x:v>General Manager</x:v>
      </x:c>
      <x:c r="E4" t="str">
        <x:v>Rebuild roster against expected covers; pre-approve overtime outside triggers</x:v>
      </x:c>
      <x:c r="F4" t="str">
        <x:v>Overtime hours; hours per cover; cost per cover</x:v>
      </x:c>
      <x:c r="G4" t="str">
        <x:v>2026-08-31</x:v>
      </x:c>
      <x:c r="H4" t="str">
        <x:v>2026-08</x:v>
      </x:c>
      <x:c r="I4" t="str">
        <x:v>Overtime 220→125 hours; labour 81,100 on 231,000 sales; service stable</x:v>
      </x:c>
      <x:c r="J4" t="str">
        <x:v>CLOSED</x:v>
      </x:c>
      <x:c r="K4" t="str">
        <x:v>follow-up monitor</x:v>
      </x:c>
    </x:row>
    <x:row r="5">
      <x:c r="A5" t="str">
        <x:v>2026-07</x:v>
      </x:c>
      <x:c r="B5" t="str">
        <x:v>Repairs</x:v>
      </x:c>
      <x:c r="C5" t="str">
        <x:v>CLOSE / NO ACTION</x:v>
      </x:c>
      <x:c r="D5" t="str">
        <x:v>Finance / General Manager</x:v>
      </x:c>
      <x:c r="E5" t="str">
        <x:v>Repair completed; watch recurrence</x:v>
      </x:c>
      <x:c r="F5" t="str">
        <x:v>Recurrence</x:v>
      </x:c>
      <x:c r="G5" t="str">
        <x:v>2026-10-31</x:v>
      </x:c>
      <x:c r="H5" t="str">
        <x:v>2026-08</x:v>
      </x:c>
      <x:c r="I5" t="str">
        <x:v>No recurrence or extra downtime</x:v>
      </x:c>
      <x:c r="J5" t="str">
        <x:v>CLOSED</x:v>
      </x:c>
      <x:c r="K5" t="str"/>
    </x:row>
    <x:row r="6">
      <x:c r="A6" t="str">
        <x:v>2026-07</x:v>
      </x:c>
      <x:c r="B6" t="str">
        <x:v>Utilities</x:v>
      </x:c>
      <x:c r="C6" t="str">
        <x:v>ESCALATE</x:v>
      </x:c>
      <x:c r="D6" t="str">
        <x:v>Finance / Owner</x:v>
      </x:c>
      <x:c r="E6" t="str">
        <x:v>Review fixed-rate alternatives at renewal</x:v>
      </x:c>
      <x:c r="F6" t="str">
        <x:v>Tariff and units</x:v>
      </x:c>
      <x:c r="G6" t="str">
        <x:v>2026-09-30</x:v>
      </x:c>
      <x:c r="H6" t="str">
        <x:v>2026-08</x:v>
      </x:c>
      <x:c r="I6" t="str">
        <x:v>Tariff still high; consumption normal; contract option awaiting owner</x:v>
      </x:c>
      <x:c r="J6" t="str">
        <x:v>OPEN: ON TRACK</x:v>
      </x:c>
      <x:c r="K6" t="str">
        <x:v>waiting on owner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30" hidden="0" customWidth="1"/>
    <x:col min="3" max="3" width="10.5" hidden="0" customWidth="1"/>
    <x:col min="4" max="4" width="28" hidden="0" customWidth="1"/>
    <x:col min="5" max="5" width="18.5" hidden="0" customWidth="1"/>
  </x:cols>
  <x:sheetData>
    <x:row r="1">
      <x:c r="A1" s="32" t="str">
        <x:v>Account_Code</x:v>
      </x:c>
      <x:c r="B1" s="32" t="str">
        <x:v>Account_Name</x:v>
      </x:c>
      <x:c r="C1" s="40" t="str">
        <x:v>July_Amount</x:v>
      </x:c>
      <x:c r="D1" s="32" t="str">
        <x:v>Management_Line</x:v>
      </x:c>
      <x:c r="E1" s="32" t="str">
        <x:v>Mapping_Status</x:v>
      </x:c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4000</x:v>
      </x:c>
      <x:c r="B2" t="str">
        <x:v>Food sales (net)</x:v>
      </x:c>
      <x:c r="C2" t="n">
        <x:v>191100</x:v>
      </x:c>
      <x:c r="D2" t="str">
        <x:v>Net Sales</x:v>
      </x:c>
      <x:c r="E2" t="str">
        <x:v>Confirmed</x:v>
      </x:c>
    </x:row>
    <x:row r="3">
      <x:c r="A3" t="str">
        <x:v>4100</x:v>
      </x:c>
      <x:c r="B3" t="str">
        <x:v>Beverage sales</x:v>
      </x:c>
      <x:c r="C3" t="n">
        <x:v>27400</x:v>
      </x:c>
      <x:c r="D3" t="str">
        <x:v>Net Sales</x:v>
      </x:c>
      <x:c r="E3" t="str">
        <x:v>Confirmed</x:v>
      </x:c>
    </x:row>
    <x:row r="4">
      <x:c r="A4" t="str">
        <x:v>4200</x:v>
      </x:c>
      <x:c r="B4" t="str">
        <x:v>Other income</x:v>
      </x:c>
      <x:c r="C4" t="n">
        <x:v>10000</x:v>
      </x:c>
      <x:c r="D4" t="str">
        <x:v>Net Sales</x:v>
      </x:c>
      <x:c r="E4" t="str">
        <x:v>Confirmed</x:v>
      </x:c>
    </x:row>
    <x:row r="5">
      <x:c r="A5" t="str">
        <x:v>5000</x:v>
      </x:c>
      <x:c r="B5" t="str">
        <x:v>Food cost of sales</x:v>
      </x:c>
      <x:c r="C5" t="n">
        <x:v>61343</x:v>
      </x:c>
      <x:c r="D5" t="str">
        <x:v>Product Cost</x:v>
      </x:c>
      <x:c r="E5" t="str">
        <x:v>Confirmed</x:v>
      </x:c>
    </x:row>
    <x:row r="6">
      <x:c r="A6" t="str">
        <x:v>5100</x:v>
      </x:c>
      <x:c r="B6" t="str">
        <x:v>Beverage cost of sales</x:v>
      </x:c>
      <x:c r="C6" t="n">
        <x:v>6439</x:v>
      </x:c>
      <x:c r="D6" t="str">
        <x:v>Product Cost</x:v>
      </x:c>
      <x:c r="E6" t="str">
        <x:v>Confirmed</x:v>
      </x:c>
    </x:row>
    <x:row r="7">
      <x:c r="A7" t="str">
        <x:v>5200</x:v>
      </x:c>
      <x:c r="B7" t="str">
        <x:v>Other product cost</x:v>
      </x:c>
      <x:c r="C7" t="n">
        <x:v>2500</x:v>
      </x:c>
      <x:c r="D7" t="str">
        <x:v>Product Cost</x:v>
      </x:c>
      <x:c r="E7" t="str">
        <x:v>Confirmed</x:v>
      </x:c>
    </x:row>
    <x:row r="8">
      <x:c r="A8" t="str">
        <x:v>5500</x:v>
      </x:c>
      <x:c r="B8" t="str">
        <x:v>Platform commissions and marketing</x:v>
      </x:c>
      <x:c r="C8" t="n">
        <x:v>3600</x:v>
      </x:c>
      <x:c r="D8" t="str">
        <x:v>Acquisition / Channel Cost</x:v>
      </x:c>
      <x:c r="E8" t="str">
        <x:v>Confirmed</x:v>
      </x:c>
    </x:row>
    <x:row r="9">
      <x:c r="A9" t="str">
        <x:v>6000</x:v>
      </x:c>
      <x:c r="B9" t="str">
        <x:v>Payroll, restaurant</x:v>
      </x:c>
      <x:c r="C9" t="n">
        <x:v>84317</x:v>
      </x:c>
      <x:c r="D9" t="str">
        <x:v>Direct Labour</x:v>
      </x:c>
      <x:c r="E9" t="str">
        <x:v>Confirmed</x:v>
      </x:c>
    </x:row>
    <x:row r="10">
      <x:c r="A10" t="str">
        <x:v>6100</x:v>
      </x:c>
      <x:c r="B10" t="str">
        <x:v>Packaging and consumables</x:v>
      </x:c>
      <x:c r="C10" t="n">
        <x:v>2500</x:v>
      </x:c>
      <x:c r="D10" t="str">
        <x:v>Other Direct Operating Cost</x:v>
      </x:c>
      <x:c r="E10" t="str">
        <x:v>Confirmed</x:v>
      </x:c>
    </x:row>
    <x:row r="11">
      <x:c r="A11" t="str">
        <x:v>6120</x:v>
      </x:c>
      <x:c r="B11" t="str">
        <x:v>Equipment hire</x:v>
      </x:c>
      <x:c r="C11" t="n">
        <x:v>1300</x:v>
      </x:c>
      <x:c r="D11" t="str">
        <x:v>Shared Restaurant Costs</x:v>
      </x:c>
      <x:c r="E11" t="str">
        <x:v>New account — confirm</x:v>
      </x:c>
    </x:row>
    <x:row r="12">
      <x:c r="A12" t="str">
        <x:v>7100</x:v>
      </x:c>
      <x:c r="B12" t="str">
        <x:v>Utilities</x:v>
      </x:c>
      <x:c r="C12" t="n">
        <x:v>7750</x:v>
      </x:c>
      <x:c r="D12" t="str">
        <x:v>Shared Restaurant Costs</x:v>
      </x:c>
      <x:c r="E12" t="str">
        <x:v>Confirmed</x:v>
      </x:c>
    </x:row>
    <x:row r="13">
      <x:c r="A13" t="str">
        <x:v>7200</x:v>
      </x:c>
      <x:c r="B13" t="str">
        <x:v>Repairs and maintenance</x:v>
      </x:c>
      <x:c r="C13" t="n">
        <x:v>2800</x:v>
      </x:c>
      <x:c r="D13" t="str">
        <x:v>Shared Restaurant Costs</x:v>
      </x:c>
      <x:c r="E13" t="str">
        <x:v>Confirmed</x:v>
      </x:c>
    </x:row>
    <x:row r="14">
      <x:c r="A14" t="str">
        <x:v>7300</x:v>
      </x:c>
      <x:c r="B14" t="str">
        <x:v>Cleaning and laundry</x:v>
      </x:c>
      <x:c r="C14" t="n">
        <x:v>1120</x:v>
      </x:c>
      <x:c r="D14" t="str">
        <x:v>Shared Restaurant Costs</x:v>
      </x:c>
      <x:c r="E14" t="str">
        <x:v>Confirmed</x:v>
      </x:c>
    </x:row>
    <x:row r="15">
      <x:c r="A15" t="str">
        <x:v>7310</x:v>
      </x:c>
      <x:c r="B15" t="str">
        <x:v>Insurance and licences</x:v>
      </x:c>
      <x:c r="C15" t="n">
        <x:v>1282</x:v>
      </x:c>
      <x:c r="D15" t="str">
        <x:v>Shared Restaurant Costs</x:v>
      </x:c>
      <x:c r="E15" t="str">
        <x:v>Confirmed</x:v>
      </x:c>
    </x:row>
    <x:row r="16">
      <x:c r="A16" t="str">
        <x:v>8000</x:v>
      </x:c>
      <x:c r="B16" t="str">
        <x:v>Owner and structural costs</x:v>
      </x:c>
      <x:c r="C16" t="n">
        <x:v>26000</x:v>
      </x:c>
      <x:c r="D16" t="str">
        <x:v>Owner / Structural Costs</x:v>
      </x:c>
      <x:c r="E16" t="str">
        <x:v>Confirmed</x:v>
      </x:c>
    </x:row>
  </x:sheetData>
  <x:pageMargins left="0.7" right="0.7" top="0.75" bottom="0.75" header="0.3" footer="0.3"/>
</x:worksheet>
</file>